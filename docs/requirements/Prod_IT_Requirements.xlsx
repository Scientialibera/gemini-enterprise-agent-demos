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hared Platform" sheetId="2" state="visible" r:id="rId2"/>
    <sheet name="Growth Analysis" sheetId="3" state="visible" r:id="rId3"/>
    <sheet name="Vendor Match" sheetId="4" state="visible" r:id="rId4"/>
    <sheet name="Ticket Guidance" sheetId="5" state="visible" r:id="rId5"/>
    <sheet name="Prompt Manager" sheetId="6" state="visible" r:id="rId6"/>
    <sheet name="Kitchen Sequencer" sheetId="7" state="visible" r:id="rId7"/>
    <sheet name="Recipe Editorial" sheetId="8" state="visible" r:id="rId8"/>
    <sheet name="Secrets" sheetId="9" state="visible" r:id="rId9"/>
  </sheets>
  <definedNames>
    <definedName name="_xlnm._FilterDatabase" localSheetId="1" hidden="1">'Shared Platform'!$A$5:$I$17</definedName>
    <definedName name="_xlnm._FilterDatabase" localSheetId="2" hidden="1">'Growth Analysis'!$A$5:$I$23</definedName>
    <definedName name="_xlnm._FilterDatabase" localSheetId="3" hidden="1">'Vendor Match'!$A$5:$I$19</definedName>
    <definedName name="_xlnm._FilterDatabase" localSheetId="4" hidden="1">'Ticket Guidance'!$A$5:$I$22</definedName>
    <definedName name="_xlnm._FilterDatabase" localSheetId="5" hidden="1">'Prompt Manager'!$A$5:$I$13</definedName>
    <definedName name="_xlnm._FilterDatabase" localSheetId="6" hidden="1">'Kitchen Sequencer'!$A$5:$I$16</definedName>
    <definedName name="_xlnm._FilterDatabase" localSheetId="7" hidden="1">'Recipe Editorial'!$A$5:$I$16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6"/>
    </font>
    <font>
      <name val="Arial"/>
      <sz val="10"/>
    </font>
    <font>
      <name val="Arial"/>
      <b val="1"/>
      <color rgb="00FFFFFF"/>
    </font>
    <font>
      <name val="Arial"/>
      <b val="1"/>
    </font>
    <font>
      <name val="Arial"/>
      <b val="1"/>
      <sz val="14"/>
    </font>
    <font>
      <name val="Arial"/>
      <i val="1"/>
    </font>
    <font>
      <name val="Arial"/>
      <color rgb="00595959"/>
      <sz val="9"/>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pivotButton="0" quotePrefix="0" xfId="0"/>
    <xf numFmtId="0" fontId="2" fillId="0" borderId="1" applyAlignment="1" pivotButton="0" quotePrefix="0" xfId="0">
      <alignment vertical="top" wrapText="1"/>
    </xf>
    <xf numFmtId="9" fontId="2" fillId="0" borderId="1" applyAlignment="1" pivotButton="0" quotePrefix="0" xfId="0">
      <alignment vertical="top" wrapText="1"/>
    </xf>
    <xf numFmtId="0" fontId="4" fillId="0" borderId="0" pivotButton="0" quotePrefix="0" xfId="0"/>
    <xf numFmtId="9" fontId="4" fillId="0" borderId="0" pivotButton="0" quotePrefix="0" xfId="0"/>
    <xf numFmtId="0" fontId="2"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3"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22" customWidth="1" min="1" max="1"/>
    <col width="70" customWidth="1" min="2" max="2"/>
    <col width="14" customWidth="1" min="3" max="3"/>
    <col width="10" customWidth="1" min="4" max="4"/>
    <col width="10" customWidth="1" min="5" max="5"/>
    <col width="10" customWidth="1" min="6" max="6"/>
    <col width="12" customWidth="1" min="7" max="7"/>
  </cols>
  <sheetData>
    <row r="1">
      <c r="A1" s="1" t="inlineStr">
        <is>
          <t>Gemini Enterprise agents: production IT requirements</t>
        </is>
      </c>
    </row>
    <row r="3" ht="30" customHeight="1">
      <c r="A3" s="2" t="inlineStr">
        <is>
          <t>One tab per agent, plus the shared platform every agent needs and a secrets register.</t>
        </is>
      </c>
    </row>
    <row r="4" ht="30" customHeight="1">
      <c r="A4" s="2" t="inlineStr">
        <is>
          <t>Each row is one thing to request or provide: what, the exact value, why, who, and whether the repository automates it. Track progress in the yellow Status and Ticket columns; the table below totals them.</t>
        </is>
      </c>
    </row>
    <row r="5" ht="30" customHeight="1">
      <c r="A5" s="2" t="inlineStr">
        <is>
          <t>Agent configuration (prompt, model, limits) for code agents lives in Parameter Manager and is published from the repository on each deployment.</t>
        </is>
      </c>
    </row>
    <row r="6" ht="30" customHeight="1">
      <c r="A6" s="2" t="inlineStr">
        <is>
          <t>Generated from deployment/registry.py by docs/requirements/build_requirements.py; the step-by-step runbook is docs/prod-runbook.md.</t>
        </is>
      </c>
    </row>
    <row r="9">
      <c r="A9" s="3" t="inlineStr">
        <is>
          <t>Tab</t>
        </is>
      </c>
      <c r="B9" s="3" t="inlineStr">
        <is>
          <t>What it covers</t>
        </is>
      </c>
      <c r="C9" s="3" t="inlineStr">
        <is>
          <t>Requirements</t>
        </is>
      </c>
      <c r="D9" s="3" t="inlineStr">
        <is>
          <t>Done</t>
        </is>
      </c>
      <c r="E9" s="3" t="inlineStr">
        <is>
          <t>N/A</t>
        </is>
      </c>
      <c r="F9" s="3" t="inlineStr">
        <is>
          <t>Open</t>
        </is>
      </c>
      <c r="G9" s="3" t="inlineStr">
        <is>
          <t>% complete</t>
        </is>
      </c>
    </row>
    <row r="10">
      <c r="A10" s="4" t="inlineStr">
        <is>
          <t>Shared Platform</t>
        </is>
      </c>
      <c r="B10" s="4" t="inlineStr">
        <is>
          <t>Project-wide prerequisites every agent depends on.</t>
        </is>
      </c>
      <c r="C10" s="4">
        <f>COUNTA('Shared Platform'!H:H)-1</f>
        <v/>
      </c>
      <c r="D10" s="4">
        <f>COUNTIF('Shared Platform'!H:H,"Done")</f>
        <v/>
      </c>
      <c r="E10" s="4">
        <f>COUNTIF('Shared Platform'!H:H,"N/A")</f>
        <v/>
      </c>
      <c r="F10" s="4">
        <f>C10-D10-E10</f>
        <v/>
      </c>
      <c r="G10" s="5">
        <f>IF(C10-E10=0,"-",D10/(C10-E10))</f>
        <v/>
      </c>
    </row>
    <row r="11">
      <c r="A11" s="4" t="inlineStr">
        <is>
          <t>Growth Analysis</t>
        </is>
      </c>
      <c r="B11" s="4" t="inlineStr">
        <is>
          <t>ADK workflow: store performance diagnostic report (Google Doc).</t>
        </is>
      </c>
      <c r="C11" s="4">
        <f>COUNTA('Growth Analysis'!H:H)-1</f>
        <v/>
      </c>
      <c r="D11" s="4">
        <f>COUNTIF('Growth Analysis'!H:H,"Done")</f>
        <v/>
      </c>
      <c r="E11" s="4">
        <f>COUNTIF('Growth Analysis'!H:H,"N/A")</f>
        <v/>
      </c>
      <c r="F11" s="4">
        <f>C11-D11-E11</f>
        <v/>
      </c>
      <c r="G11" s="5">
        <f>IF(C11-E11=0,"-",D11/(C11-E11))</f>
        <v/>
      </c>
    </row>
    <row r="12">
      <c r="A12" s="4" t="inlineStr">
        <is>
          <t>Vendor Match</t>
        </is>
      </c>
      <c r="B12" s="4" t="inlineStr">
        <is>
          <t>ADK agent: vendor name standardization against the Drive master dictionary.</t>
        </is>
      </c>
      <c r="C12" s="4">
        <f>COUNTA('Vendor Match'!H:H)-1</f>
        <v/>
      </c>
      <c r="D12" s="4">
        <f>COUNTIF('Vendor Match'!H:H,"Done")</f>
        <v/>
      </c>
      <c r="E12" s="4">
        <f>COUNTIF('Vendor Match'!H:H,"N/A")</f>
        <v/>
      </c>
      <c r="F12" s="4">
        <f>C12-D12-E12</f>
        <v/>
      </c>
      <c r="G12" s="5">
        <f>IF(C12-E12=0,"-",D12/(C12-E12))</f>
        <v/>
      </c>
    </row>
    <row r="13">
      <c r="A13" s="4" t="inlineStr">
        <is>
          <t>Ticket Guidance</t>
        </is>
      </c>
      <c r="B13" s="4" t="inlineStr">
        <is>
          <t>ADK agent: Confluence KB guidance and Jira tickets.</t>
        </is>
      </c>
      <c r="C13" s="4">
        <f>COUNTA('Ticket Guidance'!H:H)-1</f>
        <v/>
      </c>
      <c r="D13" s="4">
        <f>COUNTIF('Ticket Guidance'!H:H,"Done")</f>
        <v/>
      </c>
      <c r="E13" s="4">
        <f>COUNTIF('Ticket Guidance'!H:H,"N/A")</f>
        <v/>
      </c>
      <c r="F13" s="4">
        <f>C13-D13-E13</f>
        <v/>
      </c>
      <c r="G13" s="5">
        <f>IF(C13-E13=0,"-",D13/(C13-E13))</f>
        <v/>
      </c>
    </row>
    <row r="14">
      <c r="A14" s="4" t="inlineStr">
        <is>
          <t>Prompt Manager</t>
        </is>
      </c>
      <c r="B14" s="4" t="inlineStr">
        <is>
          <t>ADK agent: view and change code agents' prompts and models in Parameter Manager.</t>
        </is>
      </c>
      <c r="C14" s="4">
        <f>COUNTA('Prompt Manager'!H:H)-1</f>
        <v/>
      </c>
      <c r="D14" s="4">
        <f>COUNTIF('Prompt Manager'!H:H,"Done")</f>
        <v/>
      </c>
      <c r="E14" s="4">
        <f>COUNTIF('Prompt Manager'!H:H,"N/A")</f>
        <v/>
      </c>
      <c r="F14" s="4">
        <f>C14-D14-E14</f>
        <v/>
      </c>
      <c r="G14" s="5">
        <f>IF(C14-E14=0,"-",D14/(C14-E14))</f>
        <v/>
      </c>
    </row>
    <row r="15">
      <c r="A15" s="4" t="inlineStr">
        <is>
          <t>Kitchen Sequencer</t>
        </is>
      </c>
      <c r="B15" s="4" t="inlineStr">
        <is>
          <t>No-code agent: kitchen compliance from curated BigQuery tables.</t>
        </is>
      </c>
      <c r="C15" s="4">
        <f>COUNTA('Kitchen Sequencer'!H:H)-1</f>
        <v/>
      </c>
      <c r="D15" s="4">
        <f>COUNTIF('Kitchen Sequencer'!H:H,"Done")</f>
        <v/>
      </c>
      <c r="E15" s="4">
        <f>COUNTIF('Kitchen Sequencer'!H:H,"N/A")</f>
        <v/>
      </c>
      <c r="F15" s="4">
        <f>C15-D15-E15</f>
        <v/>
      </c>
      <c r="G15" s="5">
        <f>IF(C15-E15=0,"-",D15/(C15-E15))</f>
        <v/>
      </c>
    </row>
    <row r="16">
      <c r="A16" s="4" t="inlineStr">
        <is>
          <t>Recipe Editorial</t>
        </is>
      </c>
      <c r="B16" s="4" t="inlineStr">
        <is>
          <t>No-code agent: recipe editorial QA from BigQuery, emailed report.</t>
        </is>
      </c>
      <c r="C16" s="4">
        <f>COUNTA('Recipe Editorial'!H:H)-1</f>
        <v/>
      </c>
      <c r="D16" s="4">
        <f>COUNTIF('Recipe Editorial'!H:H,"Done")</f>
        <v/>
      </c>
      <c r="E16" s="4">
        <f>COUNTIF('Recipe Editorial'!H:H,"N/A")</f>
        <v/>
      </c>
      <c r="F16" s="4">
        <f>C16-D16-E16</f>
        <v/>
      </c>
      <c r="G16" s="5">
        <f>IF(C16-E16=0,"-",D16/(C16-E16))</f>
        <v/>
      </c>
    </row>
    <row r="17">
      <c r="A17" s="6" t="inlineStr">
        <is>
          <t>Total</t>
        </is>
      </c>
      <c r="C17" s="6">
        <f>SUM(C10:C16)</f>
        <v/>
      </c>
      <c r="D17" s="6">
        <f>SUM(D10:D16)</f>
        <v/>
      </c>
      <c r="E17" s="6">
        <f>SUM(E10:E16)</f>
        <v/>
      </c>
      <c r="F17" s="6">
        <f>SUM(F10:F16)</f>
        <v/>
      </c>
      <c r="G17" s="7">
        <f>IF(C17-E17=0,"-",D17/(C17-E17))</f>
        <v/>
      </c>
    </row>
    <row r="19">
      <c r="A19" s="6" t="inlineStr">
        <is>
          <t>Status values</t>
        </is>
      </c>
      <c r="B19" s="8" t="inlineStr">
        <is>
          <t>Not started, Ticket raised, In progress, Done, N/A, Blocked</t>
        </is>
      </c>
    </row>
    <row r="20">
      <c r="A20" s="6" t="inlineStr">
        <is>
          <t>Who provides it</t>
        </is>
      </c>
      <c r="B20" s="8" t="inlineStr">
        <is>
          <t>Cloud platform team, Cloud IAM / security, Gemini Enterprise admin, Google Workspace admin, Data owner (BigQuery), Atlassian admin, Business owner, Deployment team (us)</t>
        </is>
      </c>
    </row>
  </sheetData>
  <mergeCells count="4">
    <mergeCell ref="A3:G3"/>
    <mergeCell ref="A6:G6"/>
    <mergeCell ref="A5:G5"/>
    <mergeCell ref="A4:G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38" customWidth="1" min="3" max="3"/>
    <col width="60" customWidth="1" min="4" max="4"/>
    <col width="46" customWidth="1" min="5" max="5"/>
    <col width="24" customWidth="1" min="6" max="6"/>
    <col width="22" customWidth="1" min="7" max="7"/>
    <col width="14" customWidth="1" min="8" max="8"/>
    <col width="30" customWidth="1" min="9" max="9"/>
  </cols>
  <sheetData>
    <row r="1">
      <c r="A1" s="9" t="inlineStr">
        <is>
          <t>Shared Platform</t>
        </is>
      </c>
    </row>
    <row r="2">
      <c r="A2" s="10" t="inlineStr">
        <is>
          <t>Project-wide prerequisites every agent depends on.</t>
        </is>
      </c>
    </row>
    <row r="3">
      <c r="A3" s="11" t="inlineStr">
        <is>
          <t>Values in &lt;angle brackets&gt; are placeholders for the client's IT team to decide and fill in (those cells are yellow, like Status and notes); everything else is fixed by Google or by the repository. Details: docs/prod-runbook.md.</t>
        </is>
      </c>
    </row>
    <row r="5">
      <c r="A5" s="12" t="inlineStr">
        <is>
          <t>#</t>
        </is>
      </c>
      <c r="B5" s="12" t="inlineStr">
        <is>
          <t>Area</t>
        </is>
      </c>
      <c r="C5" s="12" t="inlineStr">
        <is>
          <t>Requirement</t>
        </is>
      </c>
      <c r="D5" s="12" t="inlineStr">
        <is>
          <t>Exact value / specification</t>
        </is>
      </c>
      <c r="E5" s="12" t="inlineStr">
        <is>
          <t>Why it is needed</t>
        </is>
      </c>
      <c r="F5" s="12" t="inlineStr">
        <is>
          <t>Who provides it</t>
        </is>
      </c>
      <c r="G5" s="12" t="inlineStr">
        <is>
          <t>Automated by the repo?</t>
        </is>
      </c>
      <c r="H5" s="12" t="inlineStr">
        <is>
          <t>Status</t>
        </is>
      </c>
      <c r="I5" s="12" t="inlineStr">
        <is>
          <t>Ticket / owner / notes</t>
        </is>
      </c>
    </row>
    <row r="6">
      <c r="A6" s="4" t="n">
        <v>1</v>
      </c>
      <c r="B6" s="13" t="inlineStr">
        <is>
          <t>Project</t>
        </is>
      </c>
      <c r="C6" s="4" t="inlineStr">
        <is>
          <t>Google Cloud project</t>
        </is>
      </c>
      <c r="D6" s="14" t="inlineStr">
        <is>
          <t>Project ID: &lt;project ID&gt;. A dedicated project in the client's organization, with billing.</t>
        </is>
      </c>
      <c r="E6" s="4" t="inlineStr">
        <is>
          <t>Hosts every runtime, secret, parameter and dataset.</t>
        </is>
      </c>
      <c r="F6" s="4" t="inlineStr">
        <is>
          <t>Cloud platform team</t>
        </is>
      </c>
      <c r="G6" s="4" t="inlineStr">
        <is>
          <t>No</t>
        </is>
      </c>
      <c r="H6" s="14" t="inlineStr">
        <is>
          <t>Not started</t>
        </is>
      </c>
      <c r="I6" s="14" t="inlineStr"/>
    </row>
    <row r="7">
      <c r="A7" s="4" t="n">
        <v>2</v>
      </c>
      <c r="B7" s="13" t="inlineStr">
        <is>
          <t>Project</t>
        </is>
      </c>
      <c r="C7" s="4" t="inlineStr">
        <is>
          <t>Required APIs</t>
        </is>
      </c>
      <c r="D7" s="4" t="inlineStr">
        <is>
          <t>aiplatform, discoveryengine, parametermanager, secretmanager, serviceusage, storage, logging, monitoring, cloudtrace, telemetry, docs, drive, sheets, bigquery, bigquerydatatransfer (each .googleapis.com); places.googleapis.com in the project that owns the Places key.</t>
        </is>
      </c>
      <c r="E7" s="4" t="inlineStr">
        <is>
          <t>The agents and the deployment use them.</t>
        </is>
      </c>
      <c r="F7" s="4" t="inlineStr">
        <is>
          <t>Cloud platform team</t>
        </is>
      </c>
      <c r="G7" s="4" t="inlineStr">
        <is>
          <t>Yes (Terraform or run.py)</t>
        </is>
      </c>
      <c r="H7" s="14" t="inlineStr">
        <is>
          <t>Not started</t>
        </is>
      </c>
      <c r="I7" s="14" t="inlineStr"/>
    </row>
    <row r="8">
      <c r="A8" s="4" t="n">
        <v>3</v>
      </c>
      <c r="B8" s="13" t="inlineStr">
        <is>
          <t>Gemini Enterprise</t>
        </is>
      </c>
      <c r="C8" s="4" t="inlineStr">
        <is>
          <t>Gemini Enterprise app and licences</t>
        </is>
      </c>
      <c r="D8" s="14" t="inlineStr">
        <is>
          <t>App (engine) ID: &lt;app ID&gt;, in location global (allowed by org policy); licences for every user.</t>
        </is>
      </c>
      <c r="E8" s="4" t="inlineStr">
        <is>
          <t>All agents are published into this app.</t>
        </is>
      </c>
      <c r="F8" s="4" t="inlineStr">
        <is>
          <t>Gemini Enterprise admin</t>
        </is>
      </c>
      <c r="G8" s="4" t="inlineStr">
        <is>
          <t>No (console only)</t>
        </is>
      </c>
      <c r="H8" s="14" t="inlineStr">
        <is>
          <t>Not started</t>
        </is>
      </c>
      <c r="I8" s="14" t="inlineStr"/>
    </row>
    <row r="9">
      <c r="A9" s="4" t="n">
        <v>4</v>
      </c>
      <c r="B9" s="13" t="inlineStr">
        <is>
          <t>Gemini Enterprise</t>
        </is>
      </c>
      <c r="C9" s="4" t="inlineStr">
        <is>
          <t>Identity provider</t>
        </is>
      </c>
      <c r="D9" s="4" t="inlineStr">
        <is>
          <t>Settings &gt; Authentication: Google Identity for global (Workspace or Cloud Identity org).</t>
        </is>
      </c>
      <c r="E9" s="4" t="inlineStr">
        <is>
          <t>Needed by ingestion connectors (Confluence) to enforce source permissions.</t>
        </is>
      </c>
      <c r="F9" s="4" t="inlineStr">
        <is>
          <t>Gemini Enterprise admin</t>
        </is>
      </c>
      <c r="G9" s="4" t="inlineStr">
        <is>
          <t>No (console only)</t>
        </is>
      </c>
      <c r="H9" s="14" t="inlineStr">
        <is>
          <t>Not started</t>
        </is>
      </c>
      <c r="I9" s="14" t="inlineStr"/>
    </row>
    <row r="10">
      <c r="A10" s="4" t="n">
        <v>5</v>
      </c>
      <c r="B10" s="13" t="inlineStr">
        <is>
          <t>OAuth</t>
        </is>
      </c>
      <c r="C10" s="4" t="inlineStr">
        <is>
          <t>OAuth consent screen</t>
        </is>
      </c>
      <c r="D10" s="14" t="inlineStr">
        <is>
          <t>Google Auth Platform: Internal user type; app name &lt;app name&gt; and support email &lt;support email&gt;; Data Access lists every scope on the agent tabs.</t>
        </is>
      </c>
      <c r="E10" s="4" t="inlineStr">
        <is>
          <t>Every delegated agent and the BigQuery MCP connector use it.</t>
        </is>
      </c>
      <c r="F10" s="4" t="inlineStr">
        <is>
          <t>Cloud platform team</t>
        </is>
      </c>
      <c r="G10" s="4" t="inlineStr">
        <is>
          <t>No (console only)</t>
        </is>
      </c>
      <c r="H10" s="14" t="inlineStr">
        <is>
          <t>Not started</t>
        </is>
      </c>
      <c r="I10" s="14" t="inlineStr"/>
    </row>
    <row r="11">
      <c r="A11" s="4" t="n">
        <v>6</v>
      </c>
      <c r="B11" s="13" t="inlineStr">
        <is>
          <t>IAM (all agents)</t>
        </is>
      </c>
      <c r="C11" s="4" t="inlineStr">
        <is>
          <t>Baseline roles for every Agent Identity</t>
        </is>
      </c>
      <c r="D11" s="4" t="inlineStr">
        <is>
          <t>roles/aiplatform.expressUser, roles/serviceusage.serviceUsageConsumer, roles/parametermanager.parameterAccessor on the project, granted to the principal set of all Agent Identities in the project; roles/storage.objectViewer on the staging bucket only.</t>
        </is>
      </c>
      <c r="E11" s="4" t="inlineStr">
        <is>
          <t>Every runtime reads its own parameter and model with these; without them it deploys and then fails on the first request.</t>
        </is>
      </c>
      <c r="F11" s="4" t="inlineStr">
        <is>
          <t>Cloud IAM / security</t>
        </is>
      </c>
      <c r="G11" s="4" t="inlineStr">
        <is>
          <t>Yes (Terraform)</t>
        </is>
      </c>
      <c r="H11" s="14" t="inlineStr">
        <is>
          <t>Not started</t>
        </is>
      </c>
      <c r="I11" s="14" t="inlineStr"/>
    </row>
    <row r="12">
      <c r="A12" s="4" t="n">
        <v>7</v>
      </c>
      <c r="B12" s="13" t="inlineStr">
        <is>
          <t>Storage</t>
        </is>
      </c>
      <c r="C12" s="4" t="inlineStr">
        <is>
          <t>Staging bucket</t>
        </is>
      </c>
      <c r="D12" s="14" t="inlineStr">
        <is>
          <t>gs://&lt;staging bucket&gt; in &lt;region&gt; for runtime packages.</t>
        </is>
      </c>
      <c r="E12" s="4" t="inlineStr">
        <is>
          <t>Agent Engine deploys code from it.</t>
        </is>
      </c>
      <c r="F12" s="4" t="inlineStr">
        <is>
          <t>Cloud platform team</t>
        </is>
      </c>
      <c r="G12" s="4" t="inlineStr">
        <is>
          <t>Yes (Terraform or run.py)</t>
        </is>
      </c>
      <c r="H12" s="14" t="inlineStr">
        <is>
          <t>Not started</t>
        </is>
      </c>
      <c r="I12" s="14" t="inlineStr"/>
    </row>
    <row r="13">
      <c r="A13" s="4" t="n">
        <v>8</v>
      </c>
      <c r="B13" s="13" t="inlineStr">
        <is>
          <t>Secrets</t>
        </is>
      </c>
      <c r="C13" s="4" t="inlineStr">
        <is>
          <t>Secret Manager secrets</t>
        </is>
      </c>
      <c r="D13" s="4" t="inlineStr">
        <is>
          <t>Created empty by Terraform (managed_secrets); values supplied through the approved secret process. See the Secrets tab.</t>
        </is>
      </c>
      <c r="E13" s="4" t="inlineStr">
        <is>
          <t>API keys and the Jira token; never in code.</t>
        </is>
      </c>
      <c r="F13" s="4" t="inlineStr">
        <is>
          <t>Cloud IAM / security</t>
        </is>
      </c>
      <c r="G13" s="4" t="inlineStr">
        <is>
          <t>Create yes; values no</t>
        </is>
      </c>
      <c r="H13" s="14" t="inlineStr">
        <is>
          <t>Not started</t>
        </is>
      </c>
      <c r="I13" s="14" t="inlineStr"/>
    </row>
    <row r="14">
      <c r="A14" s="4" t="n">
        <v>9</v>
      </c>
      <c r="B14" s="13" t="inlineStr">
        <is>
          <t>Deployment access</t>
        </is>
      </c>
      <c r="C14" s="4" t="inlineStr">
        <is>
          <t>Deployer identity (person or CI service account)</t>
        </is>
      </c>
      <c r="D14" s="14" t="inlineStr">
        <is>
          <t>Principal: &lt;deployer user or CI service account&gt;. On the project: roles/aiplatform.user, roles/discoveryengine.admin, roles/parametermanager.parameterAdmin, roles/secretmanager.admin, roles/storage.admin (staging bucket), roles/bigquery.dataEditor + jobUser (seeding), roles/serviceusage.serviceUsageConsumer; roles/resourcemanager.projectIamAdmin only if it should grant the per-agent roles itself.</t>
        </is>
      </c>
      <c r="E14" s="4" t="inlineStr">
        <is>
          <t>Runs `deployment/run.py` (deploy, register, publish prompts, seed, test).</t>
        </is>
      </c>
      <c r="F14" s="4" t="inlineStr">
        <is>
          <t>Cloud IAM / security</t>
        </is>
      </c>
      <c r="G14" s="4" t="inlineStr">
        <is>
          <t>No</t>
        </is>
      </c>
      <c r="H14" s="14" t="inlineStr">
        <is>
          <t>Not started</t>
        </is>
      </c>
      <c r="I14" s="14" t="inlineStr"/>
    </row>
    <row r="15">
      <c r="A15" s="4" t="n">
        <v>10</v>
      </c>
      <c r="B15" s="13" t="inlineStr">
        <is>
          <t>Observability</t>
        </is>
      </c>
      <c r="C15" s="4" t="inlineStr">
        <is>
          <t>Logging and monitoring</t>
        </is>
      </c>
      <c r="D15" s="4" t="inlineStr">
        <is>
          <t>Cloud Logging and Monitoring on the project; optional log sink and alerts (Terraform observability module).</t>
        </is>
      </c>
      <c r="E15" s="4" t="inlineStr">
        <is>
          <t>Operating and auditing the agents.</t>
        </is>
      </c>
      <c r="F15" s="4" t="inlineStr">
        <is>
          <t>Cloud platform team</t>
        </is>
      </c>
      <c r="G15" s="4" t="inlineStr">
        <is>
          <t>Yes (Terraform)</t>
        </is>
      </c>
      <c r="H15" s="14" t="inlineStr">
        <is>
          <t>Not started</t>
        </is>
      </c>
      <c r="I15" s="14" t="inlineStr"/>
    </row>
    <row r="16">
      <c r="A16" s="4" t="n">
        <v>11</v>
      </c>
      <c r="B16" s="13" t="inlineStr">
        <is>
          <t>Org policy</t>
        </is>
      </c>
      <c r="C16" s="4" t="inlineStr">
        <is>
          <t>Custom MCP connectors allowed</t>
        </is>
      </c>
      <c r="D16" s="4" t="inlineStr">
        <is>
          <t>constraints/discoveryengine.managed.disableCustomMcpServerConnector enforce: false.</t>
        </is>
      </c>
      <c r="E16" s="4" t="inlineStr">
        <is>
          <t>Needed by the BigQuery MCP connector (no-code agents).</t>
        </is>
      </c>
      <c r="F16" s="4" t="inlineStr">
        <is>
          <t>Cloud IAM / security</t>
        </is>
      </c>
      <c r="G16" s="4" t="inlineStr">
        <is>
          <t>No</t>
        </is>
      </c>
      <c r="H16" s="14" t="inlineStr">
        <is>
          <t>Not started</t>
        </is>
      </c>
      <c r="I16" s="14" t="inlineStr"/>
    </row>
    <row r="17">
      <c r="A17" s="4" t="n">
        <v>12</v>
      </c>
      <c r="B17" s="13" t="inlineStr">
        <is>
          <t>Org policy</t>
        </is>
      </c>
      <c r="C17" s="4" t="inlineStr">
        <is>
          <t>Allowed locations</t>
        </is>
      </c>
      <c r="D17" s="14" t="inlineStr">
        <is>
          <t>global (Gemini Enterprise) and the Agent Engine region &lt;region&gt;.</t>
        </is>
      </c>
      <c r="E17" s="4" t="inlineStr">
        <is>
          <t>Resource creation fails in a disallowed location.</t>
        </is>
      </c>
      <c r="F17" s="4" t="inlineStr">
        <is>
          <t>Cloud IAM / security</t>
        </is>
      </c>
      <c r="G17" s="4" t="inlineStr">
        <is>
          <t>No</t>
        </is>
      </c>
      <c r="H17" s="14" t="inlineStr">
        <is>
          <t>Not started</t>
        </is>
      </c>
      <c r="I17" s="14" t="inlineStr"/>
    </row>
  </sheetData>
  <autoFilter ref="A5:I17"/>
  <dataValidations count="1">
    <dataValidation sqref="H6 H7 H8 H9 H10 H11 H12 H13 H14 H15 H16 H17" showDropDown="0" showInputMessage="0" showErrorMessage="0" allowBlank="1" type="list">
      <formula1>"Not started,Ticket raised,In progress,Done,N/A,Blocked"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38" customWidth="1" min="3" max="3"/>
    <col width="60" customWidth="1" min="4" max="4"/>
    <col width="46" customWidth="1" min="5" max="5"/>
    <col width="24" customWidth="1" min="6" max="6"/>
    <col width="22" customWidth="1" min="7" max="7"/>
    <col width="14" customWidth="1" min="8" max="8"/>
    <col width="30" customWidth="1" min="9" max="9"/>
  </cols>
  <sheetData>
    <row r="1">
      <c r="A1" s="9" t="inlineStr">
        <is>
          <t>Growth Analysis</t>
        </is>
      </c>
    </row>
    <row r="2">
      <c r="A2" s="10" t="inlineStr">
        <is>
          <t>ADK workflow: store performance diagnostic report (Google Doc).</t>
        </is>
      </c>
    </row>
    <row r="3">
      <c r="A3" s="11" t="inlineStr">
        <is>
          <t>Values in &lt;angle brackets&gt; are placeholders for the client's IT team to decide and fill in (those cells are yellow, like Status and notes); everything else is fixed by Google or by the repository. Details: docs/prod-runbook.md.</t>
        </is>
      </c>
    </row>
    <row r="5">
      <c r="A5" s="12" t="inlineStr">
        <is>
          <t>#</t>
        </is>
      </c>
      <c r="B5" s="12" t="inlineStr">
        <is>
          <t>Area</t>
        </is>
      </c>
      <c r="C5" s="12" t="inlineStr">
        <is>
          <t>Requirement</t>
        </is>
      </c>
      <c r="D5" s="12" t="inlineStr">
        <is>
          <t>Exact value / specification</t>
        </is>
      </c>
      <c r="E5" s="12" t="inlineStr">
        <is>
          <t>Why it is needed</t>
        </is>
      </c>
      <c r="F5" s="12" t="inlineStr">
        <is>
          <t>Who provides it</t>
        </is>
      </c>
      <c r="G5" s="12" t="inlineStr">
        <is>
          <t>Automated by the repo?</t>
        </is>
      </c>
      <c r="H5" s="12" t="inlineStr">
        <is>
          <t>Status</t>
        </is>
      </c>
      <c r="I5" s="12" t="inlineStr">
        <is>
          <t>Ticket / owner / notes</t>
        </is>
      </c>
    </row>
    <row r="6">
      <c r="A6" s="4" t="n">
        <v>1</v>
      </c>
      <c r="B6" s="13" t="inlineStr">
        <is>
          <t>Runtime</t>
        </is>
      </c>
      <c r="C6" s="4" t="inlineStr">
        <is>
          <t>Agent Engine runtime with its own Agent Identity</t>
        </is>
      </c>
      <c r="D6" s="4" t="inlineStr">
        <is>
          <t>Region of the deployment; package growth-analysis-workflow; identity type AGENT_IDENTITY (Google-managed, one per runtime).</t>
        </is>
      </c>
      <c r="E6" s="4" t="inlineStr">
        <is>
          <t>Hosts the code. Its Agent Identity is the agent's own principal, separate from users and from other agents.</t>
        </is>
      </c>
      <c r="F6" s="4" t="inlineStr">
        <is>
          <t>Deployment team (us)</t>
        </is>
      </c>
      <c r="G6" s="4" t="inlineStr">
        <is>
          <t>Yes (run.py deploy)</t>
        </is>
      </c>
      <c r="H6" s="14" t="inlineStr">
        <is>
          <t>Not started</t>
        </is>
      </c>
      <c r="I6" s="14" t="inlineStr"/>
    </row>
    <row r="7">
      <c r="A7" s="4" t="n">
        <v>2</v>
      </c>
      <c r="B7" s="13" t="inlineStr">
        <is>
          <t>Runtime</t>
        </is>
      </c>
      <c r="C7" s="4" t="inlineStr">
        <is>
          <t>Runtime configuration parameter (prompt, model, limits)</t>
        </is>
      </c>
      <c r="D7" s="4" t="inlineStr">
        <is>
          <t>Parameter Manager parameter growth-analysis-workflow-config (global). Stage prompts ship in the package (resources/prompts.yaml); any stage can be overridden through stage_instructions in this parameter. The runtime re-reads it every 30 seconds, so a prompt or model change needs no redeploy.</t>
        </is>
      </c>
      <c r="E7" s="4" t="inlineStr">
        <is>
          <t>Prompts and models are managed as configuration, versioned in Parameter Manager (and editable through the Prompt Manager agent).</t>
        </is>
      </c>
      <c r="F7" s="4" t="inlineStr">
        <is>
          <t>Deployment team (us)</t>
        </is>
      </c>
      <c r="G7" s="4" t="inlineStr">
        <is>
          <t>Yes (run.py deploy)</t>
        </is>
      </c>
      <c r="H7" s="14" t="inlineStr">
        <is>
          <t>Not started</t>
        </is>
      </c>
      <c r="I7" s="14" t="inlineStr"/>
    </row>
    <row r="8">
      <c r="A8" s="4" t="n">
        <v>3</v>
      </c>
      <c r="B8" s="13" t="inlineStr">
        <is>
          <t>Gemini Enterprise</t>
        </is>
      </c>
      <c r="C8" s="4" t="inlineStr">
        <is>
          <t>Agent listing in the app</t>
        </is>
      </c>
      <c r="D8" s="4" t="inlineStr">
        <is>
          <t>Display name: Growth Analysis; plus a native workflow wrapper (backend listed as '… Backend')</t>
        </is>
      </c>
      <c r="E8" s="4" t="inlineStr">
        <is>
          <t>How users find and run the agent.</t>
        </is>
      </c>
      <c r="F8" s="4" t="inlineStr">
        <is>
          <t>Deployment team (us)</t>
        </is>
      </c>
      <c r="G8" s="4" t="inlineStr">
        <is>
          <t>Yes (run.py deploy)</t>
        </is>
      </c>
      <c r="H8" s="14" t="inlineStr">
        <is>
          <t>Not started</t>
        </is>
      </c>
      <c r="I8" s="14" t="inlineStr"/>
    </row>
    <row r="9">
      <c r="A9" s="4" t="n">
        <v>4</v>
      </c>
      <c r="B9" s="13" t="inlineStr">
        <is>
          <t>Secrets</t>
        </is>
      </c>
      <c r="C9" s="4" t="inlineStr">
        <is>
          <t>Secret growth-bls-api-key</t>
        </is>
      </c>
      <c r="D9" s="4" t="inlineStr">
        <is>
          <t>Secret Manager secret 'growth-bls-api-key' with a value; roles/secretmanager.secretAccessor granted on this secret only to this agent's identity. Value: U.S. Bureau of Labor Statistics API key (register at bls.gov/developers).</t>
        </is>
      </c>
      <c r="E9" s="4" t="inlineStr">
        <is>
          <t>Read by the agent's tools at run time under its own identity; never in code or config files.</t>
        </is>
      </c>
      <c r="F9" s="4" t="inlineStr">
        <is>
          <t>Cloud IAM / security + value owner</t>
        </is>
      </c>
      <c r="G9" s="4" t="inlineStr">
        <is>
          <t>Grant yes; value no</t>
        </is>
      </c>
      <c r="H9" s="14" t="inlineStr">
        <is>
          <t>Not started</t>
        </is>
      </c>
      <c r="I9" s="14" t="inlineStr"/>
    </row>
    <row r="10">
      <c r="A10" s="4" t="n">
        <v>5</v>
      </c>
      <c r="B10" s="13" t="inlineStr">
        <is>
          <t>Secrets</t>
        </is>
      </c>
      <c r="C10" s="4" t="inlineStr">
        <is>
          <t>Secret growth-fred-api-key</t>
        </is>
      </c>
      <c r="D10" s="4" t="inlineStr">
        <is>
          <t>Secret Manager secret 'growth-fred-api-key' with a value; roles/secretmanager.secretAccessor granted on this secret only to this agent's identity. Value: FRED API key (fred.stlouisfed.org &gt; My Account &gt; API Keys).</t>
        </is>
      </c>
      <c r="E10" s="4" t="inlineStr">
        <is>
          <t>Read by the agent's tools at run time under its own identity; never in code or config files.</t>
        </is>
      </c>
      <c r="F10" s="4" t="inlineStr">
        <is>
          <t>Cloud IAM / security + value owner</t>
        </is>
      </c>
      <c r="G10" s="4" t="inlineStr">
        <is>
          <t>Grant yes; value no</t>
        </is>
      </c>
      <c r="H10" s="14" t="inlineStr">
        <is>
          <t>Not started</t>
        </is>
      </c>
      <c r="I10" s="14" t="inlineStr"/>
    </row>
    <row r="11">
      <c r="A11" s="4" t="n">
        <v>6</v>
      </c>
      <c r="B11" s="13" t="inlineStr">
        <is>
          <t>Secrets</t>
        </is>
      </c>
      <c r="C11" s="4" t="inlineStr">
        <is>
          <t>Secret growth-nyt-api-key</t>
        </is>
      </c>
      <c r="D11" s="4" t="inlineStr">
        <is>
          <t>Secret Manager secret 'growth-nyt-api-key' with a value; roles/secretmanager.secretAccessor granted on this secret only to this agent's identity. Value: New York Times Article Search API key (developer.nytimes.com).</t>
        </is>
      </c>
      <c r="E11" s="4" t="inlineStr">
        <is>
          <t>Read by the agent's tools at run time under its own identity; never in code or config files.</t>
        </is>
      </c>
      <c r="F11" s="4" t="inlineStr">
        <is>
          <t>Cloud IAM / security + value owner</t>
        </is>
      </c>
      <c r="G11" s="4" t="inlineStr">
        <is>
          <t>Grant yes; value no</t>
        </is>
      </c>
      <c r="H11" s="14" t="inlineStr">
        <is>
          <t>Not started</t>
        </is>
      </c>
      <c r="I11" s="14" t="inlineStr"/>
    </row>
    <row r="12">
      <c r="A12" s="4" t="n">
        <v>7</v>
      </c>
      <c r="B12" s="13" t="inlineStr">
        <is>
          <t>Secrets</t>
        </is>
      </c>
      <c r="C12" s="4" t="inlineStr">
        <is>
          <t>Secret growth-google-places-api-key</t>
        </is>
      </c>
      <c r="D12" s="4" t="inlineStr">
        <is>
          <t>Secret Manager secret 'growth-google-places-api-key' with a value; roles/secretmanager.secretAccessor granted on this secret only to this agent's identity. Value: Google Cloud API key restricted to Places API (New); the project that owns it must enable places.googleapis.com and have billing.</t>
        </is>
      </c>
      <c r="E12" s="4" t="inlineStr">
        <is>
          <t>Read by the agent's tools at run time under its own identity; never in code or config files.</t>
        </is>
      </c>
      <c r="F12" s="4" t="inlineStr">
        <is>
          <t>Cloud IAM / security + value owner</t>
        </is>
      </c>
      <c r="G12" s="4" t="inlineStr">
        <is>
          <t>Grant yes; value no</t>
        </is>
      </c>
      <c r="H12" s="14" t="inlineStr">
        <is>
          <t>Not started</t>
        </is>
      </c>
      <c r="I12" s="14" t="inlineStr"/>
    </row>
    <row r="13">
      <c r="A13" s="4" t="n">
        <v>8</v>
      </c>
      <c r="B13" s="13" t="inlineStr">
        <is>
          <t>OAuth (user sign-in)</t>
        </is>
      </c>
      <c r="C13" s="4" t="inlineStr">
        <is>
          <t>Web OAuth client for this agent</t>
        </is>
      </c>
      <c r="D13" s="14" t="inlineStr">
        <is>
          <t>Google Auth Platform &gt; Clients &gt; Create &gt; Web application. Name: &lt;client name&gt;. Authorized redirect URIs (both): https://vertexaisearch.cloud.google.com/static/oauth/oauth.html and https://vertexaisearch.cloud.google.com/oauth-redirect. Client ID: &lt;client ID&gt;. Deliver the JSON (with the secret) through the approved secret channel, never email or chat.</t>
        </is>
      </c>
      <c r="E13" s="4" t="inlineStr">
        <is>
          <t>The agent acts as the signed-in user; Gemini Enterprise runs this OAuth flow the first time each user clicks Authorize. One client per agent: consent is cached per client.</t>
        </is>
      </c>
      <c r="F13" s="4" t="inlineStr">
        <is>
          <t>Cloud platform team</t>
        </is>
      </c>
      <c r="G13" s="4" t="inlineStr">
        <is>
          <t>No (console only)</t>
        </is>
      </c>
      <c r="H13" s="14" t="inlineStr">
        <is>
          <t>Not started</t>
        </is>
      </c>
      <c r="I13" s="14" t="inlineStr"/>
    </row>
    <row r="14">
      <c r="A14" s="4" t="n">
        <v>9</v>
      </c>
      <c r="B14" s="13" t="inlineStr">
        <is>
          <t>OAuth (user sign-in)</t>
        </is>
      </c>
      <c r="C14" s="4" t="inlineStr">
        <is>
          <t>Scopes on the OAuth consent screen</t>
        </is>
      </c>
      <c r="D14" s="4" t="inlineStr">
        <is>
          <t>openid, email, profile, https://www.googleapis.com/auth/spreadsheets.readonly, https://www.googleapis.com/auth/documents, https://www.googleapis.com/auth/drive  [short: openid, email, profile, spreadsheets.readonly, documents, drive]</t>
        </is>
      </c>
      <c r="E14" s="4" t="inlineStr">
        <is>
          <t>Users are asked to consent to exactly these. Missing a scope breaks consent and cannot be fixed on an existing authorization without recreating it.</t>
        </is>
      </c>
      <c r="F14" s="4" t="inlineStr">
        <is>
          <t>Cloud platform team</t>
        </is>
      </c>
      <c r="G14" s="4" t="inlineStr">
        <is>
          <t>No (console only)</t>
        </is>
      </c>
      <c r="H14" s="14" t="inlineStr">
        <is>
          <t>Not started</t>
        </is>
      </c>
      <c r="I14" s="14" t="inlineStr"/>
    </row>
    <row r="15">
      <c r="A15" s="4" t="n">
        <v>10</v>
      </c>
      <c r="B15" s="13" t="inlineStr">
        <is>
          <t>OAuth (user sign-in)</t>
        </is>
      </c>
      <c r="C15" s="4" t="inlineStr">
        <is>
          <t>Workspace trust for the client (if user consent is restricted)</t>
        </is>
      </c>
      <c r="D15" s="4" t="inlineStr">
        <is>
          <t>Admin console &gt; Security &gt; API controls &gt; App access control: mark the client ID as Trusted (or allow its scopes).</t>
        </is>
      </c>
      <c r="E15" s="4" t="inlineStr">
        <is>
          <t>Sensitive or restricted scopes (Drive, Docs, Sheets, cloud-platform) are often blocked for user consent in managed domains.</t>
        </is>
      </c>
      <c r="F15" s="4" t="inlineStr">
        <is>
          <t>Google Workspace admin</t>
        </is>
      </c>
      <c r="G15" s="4" t="inlineStr">
        <is>
          <t>No (console only)</t>
        </is>
      </c>
      <c r="H15" s="14" t="inlineStr">
        <is>
          <t>Not started</t>
        </is>
      </c>
      <c r="I15" s="14" t="inlineStr"/>
    </row>
    <row r="16">
      <c r="A16" s="4" t="n">
        <v>11</v>
      </c>
      <c r="B16" s="13" t="inlineStr">
        <is>
          <t>Gemini Enterprise</t>
        </is>
      </c>
      <c r="C16" s="4" t="inlineStr">
        <is>
          <t>Authorization resource</t>
        </is>
      </c>
      <c r="D16" s="4" t="inlineStr">
        <is>
          <t>growth-analysis-workflow-authz (created by the deployment from the client above)</t>
        </is>
      </c>
      <c r="E16" s="4" t="inlineStr">
        <is>
          <t>Links the agent to the OAuth client; the user's token reaches the agent through it.</t>
        </is>
      </c>
      <c r="F16" s="4" t="inlineStr">
        <is>
          <t>Deployment team (us)</t>
        </is>
      </c>
      <c r="G16" s="4" t="inlineStr">
        <is>
          <t>Yes (run.py deploy)</t>
        </is>
      </c>
      <c r="H16" s="14" t="inlineStr">
        <is>
          <t>Not started</t>
        </is>
      </c>
      <c r="I16" s="14" t="inlineStr"/>
    </row>
    <row r="17">
      <c r="A17" s="4" t="n">
        <v>12</v>
      </c>
      <c r="B17" s="13" t="inlineStr">
        <is>
          <t>Data (Google Drive)</t>
        </is>
      </c>
      <c r="C17" s="4" t="inlineStr">
        <is>
          <t>Store performance Google Sheet</t>
        </is>
      </c>
      <c r="D17" s="14" t="inlineStr">
        <is>
          <t>Spreadsheet ID: &lt;spreadsheet ID&gt;. The existing performance sheet with tabs 'L6W SSS Summary (18 Mo.)' and 'L6W SSS Summary (15 Mo.)' (L6W date in E1, benchmark 'Simple Average' rows 3-6, owner tags on row 10, headers on row 11) and 'ArcGIS (HH, At Scale GOV)' (headers on row 3). Headers that differ from the canonical names are mapped in configuration (column_aliases), not changed in the sheet.</t>
        </is>
      </c>
      <c r="E17" s="4" t="inlineStr">
        <is>
          <t>First stage reads it as the signed-in user: bottom 5 (18-month cohort), bottom 3 (15-month cohort) and top 5 stores, with benchmarks and owners for the TL;DR.</t>
        </is>
      </c>
      <c r="F17" s="4" t="inlineStr">
        <is>
          <t>Business owner</t>
        </is>
      </c>
      <c r="G17" s="4" t="inlineStr">
        <is>
          <t>No</t>
        </is>
      </c>
      <c r="H17" s="14" t="inlineStr">
        <is>
          <t>Not started</t>
        </is>
      </c>
      <c r="I17" s="14" t="inlineStr"/>
    </row>
    <row r="18">
      <c r="A18" s="4" t="n">
        <v>13</v>
      </c>
      <c r="B18" s="13" t="inlineStr">
        <is>
          <t>Data (Google Drive)</t>
        </is>
      </c>
      <c r="C18" s="4" t="inlineStr">
        <is>
          <t>Report folder (Shared Drive)</t>
        </is>
      </c>
      <c r="D18" s="14" t="inlineStr">
        <is>
          <t>Folder ID: &lt;report folder ID&gt;. A Shared Drive folder for the generated Google Docs; users of the agent need Contributor on it.</t>
        </is>
      </c>
      <c r="E18" s="4" t="inlineStr">
        <is>
          <t>The final stage creates the report Doc there as the signed-in user.</t>
        </is>
      </c>
      <c r="F18" s="4" t="inlineStr">
        <is>
          <t>Business owner / Google Workspace admin</t>
        </is>
      </c>
      <c r="G18" s="4" t="inlineStr">
        <is>
          <t>No</t>
        </is>
      </c>
      <c r="H18" s="14" t="inlineStr">
        <is>
          <t>Not started</t>
        </is>
      </c>
      <c r="I18" s="14" t="inlineStr"/>
    </row>
    <row r="19">
      <c r="A19" s="4" t="n">
        <v>14</v>
      </c>
      <c r="B19" s="13" t="inlineStr">
        <is>
          <t>Network</t>
        </is>
      </c>
      <c r="C19" s="4" t="inlineStr">
        <is>
          <t>Outbound HTTPS from Agent Engine</t>
        </is>
      </c>
      <c r="D19" s="4" t="inlineStr">
        <is>
          <t>api.bls.gov, api.stlouisfed.org, api.nytimes.com, archive-api.open-meteo.com, places.googleapis.com, and RSS: qsrmagazine.com, restaurantdive.com, fastcasual.com, *.eater.com (la, ny, philly).</t>
        </is>
      </c>
      <c r="E19" s="4" t="inlineStr">
        <is>
          <t>Research stages call these. Only relevant if egress is restricted (VPC Service Controls or a proxy).</t>
        </is>
      </c>
      <c r="F19" s="4" t="inlineStr">
        <is>
          <t>Cloud platform team</t>
        </is>
      </c>
      <c r="G19" s="4" t="inlineStr">
        <is>
          <t>No</t>
        </is>
      </c>
      <c r="H19" s="14" t="inlineStr">
        <is>
          <t>Not started</t>
        </is>
      </c>
      <c r="I19" s="14" t="inlineStr"/>
    </row>
    <row r="20">
      <c r="A20" s="4" t="n">
        <v>15</v>
      </c>
      <c r="B20" s="13" t="inlineStr">
        <is>
          <t>Quota</t>
        </is>
      </c>
      <c r="C20" s="4" t="inlineStr">
        <is>
          <t>Vertex AI model quota</t>
        </is>
      </c>
      <c r="D20" s="4" t="inlineStr">
        <is>
          <t>Gemini tokens per minute in the model location sized for the report stage, which sends the whole run's research (tens of thousands of tokens) in one request, times the number of runs at once. Rate-limited calls are retried for about a minute before a run fails.</t>
        </is>
      </c>
      <c r="E20" s="4" t="inlineStr">
        <is>
          <t>Without it, runs end without a report under load (429 RESOURCE_EXHAUSTED).</t>
        </is>
      </c>
      <c r="F20" s="4" t="inlineStr">
        <is>
          <t>Cloud platform team</t>
        </is>
      </c>
      <c r="G20" s="4" t="inlineStr">
        <is>
          <t>No</t>
        </is>
      </c>
      <c r="H20" s="14" t="inlineStr">
        <is>
          <t>Not started</t>
        </is>
      </c>
      <c r="I20" s="14" t="inlineStr"/>
    </row>
    <row r="21">
      <c r="A21" s="4" t="n">
        <v>16</v>
      </c>
      <c r="B21" s="13" t="inlineStr">
        <is>
          <t>User access</t>
        </is>
      </c>
      <c r="C21" s="4" t="inlineStr">
        <is>
          <t>Who may use the agent</t>
        </is>
      </c>
      <c r="D21" s="14" t="inlineStr">
        <is>
          <t>Group: &lt;Google group of intended users&gt;, each with a Gemini Enterprise license; the agent is shared to that group (optional per-agent access groups are supported). Users also need read on the sheet and Contributor on the report folder.</t>
        </is>
      </c>
      <c r="E21" s="4" t="inlineStr">
        <is>
          <t>Controls who sees and runs the agent.</t>
        </is>
      </c>
      <c r="F21" s="4" t="inlineStr">
        <is>
          <t>Business owner / Gemini Enterprise admin</t>
        </is>
      </c>
      <c r="G21" s="4" t="inlineStr">
        <is>
          <t>Partly (sharing yes, licensing no)</t>
        </is>
      </c>
      <c r="H21" s="14" t="inlineStr">
        <is>
          <t>Not started</t>
        </is>
      </c>
      <c r="I21" s="14" t="inlineStr"/>
    </row>
    <row r="22">
      <c r="A22" s="4" t="n">
        <v>17</v>
      </c>
      <c r="B22" s="13" t="inlineStr">
        <is>
          <t>Schedule (optional)</t>
        </is>
      </c>
      <c r="C22" s="4" t="inlineStr">
        <is>
          <t>Daily run</t>
        </is>
      </c>
      <c r="D22" s="4" t="inlineStr">
        <is>
          <t>Not enabled. A scheduled run has no signed-in user, so it would need a service account with access to the sheet and folder.</t>
        </is>
      </c>
      <c r="E22" s="4" t="inlineStr">
        <is>
          <t>The original deployment ran daily; decide whether that is still wanted.</t>
        </is>
      </c>
      <c r="F22" s="4" t="inlineStr">
        <is>
          <t>Business owner</t>
        </is>
      </c>
      <c r="G22" s="4" t="inlineStr">
        <is>
          <t>No</t>
        </is>
      </c>
      <c r="H22" s="14" t="inlineStr">
        <is>
          <t>Not started</t>
        </is>
      </c>
      <c r="I22" s="14" t="inlineStr"/>
    </row>
    <row r="23">
      <c r="A23" s="4" t="n">
        <v>18</v>
      </c>
      <c r="B23" s="13" t="inlineStr">
        <is>
          <t>Acceptance</t>
        </is>
      </c>
      <c r="C23" s="4" t="inlineStr">
        <is>
          <t>End-to-end test</t>
        </is>
      </c>
      <c r="D23" s="4" t="inlineStr">
        <is>
          <t>'Run the pipeline' produces a Google Doc in the report folder, owned by the user.</t>
        </is>
      </c>
      <c r="E23" s="4" t="inlineStr">
        <is>
          <t>Proves the setup works before users are switched over.</t>
        </is>
      </c>
      <c r="F23" s="4" t="inlineStr">
        <is>
          <t>Deployment team (us)</t>
        </is>
      </c>
      <c r="G23" s="4" t="inlineStr">
        <is>
          <t>Yes (run.py test)</t>
        </is>
      </c>
      <c r="H23" s="14" t="inlineStr">
        <is>
          <t>Not started</t>
        </is>
      </c>
      <c r="I23" s="14" t="inlineStr"/>
    </row>
  </sheetData>
  <autoFilter ref="A5:I23"/>
  <dataValidations count="1">
    <dataValidation sqref="H6 H7 H8 H9 H10 H11 H12 H13 H14 H15 H16 H17 H18 H19 H20 H21 H22 H23" showDropDown="0" showInputMessage="0" showErrorMessage="0" allowBlank="1" type="list">
      <formula1>"Not started,Ticket raised,In progress,Done,N/A,Blocked"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38" customWidth="1" min="3" max="3"/>
    <col width="60" customWidth="1" min="4" max="4"/>
    <col width="46" customWidth="1" min="5" max="5"/>
    <col width="24" customWidth="1" min="6" max="6"/>
    <col width="22" customWidth="1" min="7" max="7"/>
    <col width="14" customWidth="1" min="8" max="8"/>
    <col width="30" customWidth="1" min="9" max="9"/>
  </cols>
  <sheetData>
    <row r="1">
      <c r="A1" s="9" t="inlineStr">
        <is>
          <t>Vendor Match</t>
        </is>
      </c>
    </row>
    <row r="2">
      <c r="A2" s="10" t="inlineStr">
        <is>
          <t>ADK agent: vendor name standardization against the Drive master dictionary.</t>
        </is>
      </c>
    </row>
    <row r="3">
      <c r="A3" s="11" t="inlineStr">
        <is>
          <t>Values in &lt;angle brackets&gt; are placeholders for the client's IT team to decide and fill in (those cells are yellow, like Status and notes); everything else is fixed by Google or by the repository. Details: docs/prod-runbook.md.</t>
        </is>
      </c>
    </row>
    <row r="5">
      <c r="A5" s="12" t="inlineStr">
        <is>
          <t>#</t>
        </is>
      </c>
      <c r="B5" s="12" t="inlineStr">
        <is>
          <t>Area</t>
        </is>
      </c>
      <c r="C5" s="12" t="inlineStr">
        <is>
          <t>Requirement</t>
        </is>
      </c>
      <c r="D5" s="12" t="inlineStr">
        <is>
          <t>Exact value / specification</t>
        </is>
      </c>
      <c r="E5" s="12" t="inlineStr">
        <is>
          <t>Why it is needed</t>
        </is>
      </c>
      <c r="F5" s="12" t="inlineStr">
        <is>
          <t>Who provides it</t>
        </is>
      </c>
      <c r="G5" s="12" t="inlineStr">
        <is>
          <t>Automated by the repo?</t>
        </is>
      </c>
      <c r="H5" s="12" t="inlineStr">
        <is>
          <t>Status</t>
        </is>
      </c>
      <c r="I5" s="12" t="inlineStr">
        <is>
          <t>Ticket / owner / notes</t>
        </is>
      </c>
    </row>
    <row r="6">
      <c r="A6" s="4" t="n">
        <v>1</v>
      </c>
      <c r="B6" s="13" t="inlineStr">
        <is>
          <t>Runtime</t>
        </is>
      </c>
      <c r="C6" s="4" t="inlineStr">
        <is>
          <t>Agent Engine runtime with its own Agent Identity</t>
        </is>
      </c>
      <c r="D6" s="4" t="inlineStr">
        <is>
          <t>Region of the deployment; package vendor-match-agent; identity type AGENT_IDENTITY (Google-managed, one per runtime).</t>
        </is>
      </c>
      <c r="E6" s="4" t="inlineStr">
        <is>
          <t>Hosts the code. Its Agent Identity is the agent's own principal, separate from users and from other agents.</t>
        </is>
      </c>
      <c r="F6" s="4" t="inlineStr">
        <is>
          <t>Deployment team (us)</t>
        </is>
      </c>
      <c r="G6" s="4" t="inlineStr">
        <is>
          <t>Yes (run.py deploy)</t>
        </is>
      </c>
      <c r="H6" s="14" t="inlineStr">
        <is>
          <t>Not started</t>
        </is>
      </c>
      <c r="I6" s="14" t="inlineStr"/>
    </row>
    <row r="7">
      <c r="A7" s="4" t="n">
        <v>2</v>
      </c>
      <c r="B7" s="13" t="inlineStr">
        <is>
          <t>Runtime</t>
        </is>
      </c>
      <c r="C7" s="4" t="inlineStr">
        <is>
          <t>Runtime configuration parameter (prompt, model, limits)</t>
        </is>
      </c>
      <c r="D7" s="4" t="inlineStr">
        <is>
          <t>Parameter Manager parameter vendor-match-agent-config (global). prompt.md is published to it on deploy. The runtime re-reads it every 30 seconds, so a prompt or model change needs no redeploy.</t>
        </is>
      </c>
      <c r="E7" s="4" t="inlineStr">
        <is>
          <t>Prompts and models are managed as configuration, versioned in Parameter Manager (and editable through the Prompt Manager agent).</t>
        </is>
      </c>
      <c r="F7" s="4" t="inlineStr">
        <is>
          <t>Deployment team (us)</t>
        </is>
      </c>
      <c r="G7" s="4" t="inlineStr">
        <is>
          <t>Yes (run.py deploy)</t>
        </is>
      </c>
      <c r="H7" s="14" t="inlineStr">
        <is>
          <t>Not started</t>
        </is>
      </c>
      <c r="I7" s="14" t="inlineStr"/>
    </row>
    <row r="8">
      <c r="A8" s="4" t="n">
        <v>3</v>
      </c>
      <c r="B8" s="13" t="inlineStr">
        <is>
          <t>Gemini Enterprise</t>
        </is>
      </c>
      <c r="C8" s="4" t="inlineStr">
        <is>
          <t>Agent listing in the app</t>
        </is>
      </c>
      <c r="D8" s="4" t="inlineStr">
        <is>
          <t>Display name: Vendor Match Agent</t>
        </is>
      </c>
      <c r="E8" s="4" t="inlineStr">
        <is>
          <t>How users find and run the agent.</t>
        </is>
      </c>
      <c r="F8" s="4" t="inlineStr">
        <is>
          <t>Deployment team (us)</t>
        </is>
      </c>
      <c r="G8" s="4" t="inlineStr">
        <is>
          <t>Yes (run.py deploy)</t>
        </is>
      </c>
      <c r="H8" s="14" t="inlineStr">
        <is>
          <t>Not started</t>
        </is>
      </c>
      <c r="I8" s="14" t="inlineStr"/>
    </row>
    <row r="9">
      <c r="A9" s="4" t="n">
        <v>4</v>
      </c>
      <c r="B9" s="13" t="inlineStr">
        <is>
          <t>OAuth (user sign-in)</t>
        </is>
      </c>
      <c r="C9" s="4" t="inlineStr">
        <is>
          <t>Web OAuth client for this agent</t>
        </is>
      </c>
      <c r="D9" s="14" t="inlineStr">
        <is>
          <t>Google Auth Platform &gt; Clients &gt; Create &gt; Web application. Name: &lt;client name&gt;. Authorized redirect URIs (both): https://vertexaisearch.cloud.google.com/static/oauth/oauth.html and https://vertexaisearch.cloud.google.com/oauth-redirect. Client ID: &lt;client ID&gt;. Deliver the JSON (with the secret) through the approved secret channel, never email or chat.</t>
        </is>
      </c>
      <c r="E9" s="4" t="inlineStr">
        <is>
          <t>The agent acts as the signed-in user; Gemini Enterprise runs this OAuth flow the first time each user clicks Authorize. One client per agent: consent is cached per client.</t>
        </is>
      </c>
      <c r="F9" s="4" t="inlineStr">
        <is>
          <t>Cloud platform team</t>
        </is>
      </c>
      <c r="G9" s="4" t="inlineStr">
        <is>
          <t>No (console only)</t>
        </is>
      </c>
      <c r="H9" s="14" t="inlineStr">
        <is>
          <t>Not started</t>
        </is>
      </c>
      <c r="I9" s="14" t="inlineStr"/>
    </row>
    <row r="10">
      <c r="A10" s="4" t="n">
        <v>5</v>
      </c>
      <c r="B10" s="13" t="inlineStr">
        <is>
          <t>OAuth (user sign-in)</t>
        </is>
      </c>
      <c r="C10" s="4" t="inlineStr">
        <is>
          <t>Scopes on the OAuth consent screen</t>
        </is>
      </c>
      <c r="D10" s="4" t="inlineStr">
        <is>
          <t>openid, email, profile, https://www.googleapis.com/auth/drive  [short: openid, email, profile, drive]</t>
        </is>
      </c>
      <c r="E10" s="4" t="inlineStr">
        <is>
          <t>Users are asked to consent to exactly these. Missing a scope breaks consent and cannot be fixed on an existing authorization without recreating it.</t>
        </is>
      </c>
      <c r="F10" s="4" t="inlineStr">
        <is>
          <t>Cloud platform team</t>
        </is>
      </c>
      <c r="G10" s="4" t="inlineStr">
        <is>
          <t>No (console only)</t>
        </is>
      </c>
      <c r="H10" s="14" t="inlineStr">
        <is>
          <t>Not started</t>
        </is>
      </c>
      <c r="I10" s="14" t="inlineStr"/>
    </row>
    <row r="11">
      <c r="A11" s="4" t="n">
        <v>6</v>
      </c>
      <c r="B11" s="13" t="inlineStr">
        <is>
          <t>OAuth (user sign-in)</t>
        </is>
      </c>
      <c r="C11" s="4" t="inlineStr">
        <is>
          <t>Workspace trust for the client (if user consent is restricted)</t>
        </is>
      </c>
      <c r="D11" s="4" t="inlineStr">
        <is>
          <t>Admin console &gt; Security &gt; API controls &gt; App access control: mark the client ID as Trusted (or allow its scopes).</t>
        </is>
      </c>
      <c r="E11" s="4" t="inlineStr">
        <is>
          <t>Sensitive or restricted scopes (Drive, Docs, Sheets, cloud-platform) are often blocked for user consent in managed domains.</t>
        </is>
      </c>
      <c r="F11" s="4" t="inlineStr">
        <is>
          <t>Google Workspace admin</t>
        </is>
      </c>
      <c r="G11" s="4" t="inlineStr">
        <is>
          <t>No (console only)</t>
        </is>
      </c>
      <c r="H11" s="14" t="inlineStr">
        <is>
          <t>Not started</t>
        </is>
      </c>
      <c r="I11" s="14" t="inlineStr"/>
    </row>
    <row r="12">
      <c r="A12" s="4" t="n">
        <v>7</v>
      </c>
      <c r="B12" s="13" t="inlineStr">
        <is>
          <t>Gemini Enterprise</t>
        </is>
      </c>
      <c r="C12" s="4" t="inlineStr">
        <is>
          <t>Authorization resource</t>
        </is>
      </c>
      <c r="D12" s="4" t="inlineStr">
        <is>
          <t>vendor-match-agent-authz (created by the deployment from the client above)</t>
        </is>
      </c>
      <c r="E12" s="4" t="inlineStr">
        <is>
          <t>Links the agent to the OAuth client; the user's token reaches the agent through it.</t>
        </is>
      </c>
      <c r="F12" s="4" t="inlineStr">
        <is>
          <t>Deployment team (us)</t>
        </is>
      </c>
      <c r="G12" s="4" t="inlineStr">
        <is>
          <t>Yes (run.py deploy)</t>
        </is>
      </c>
      <c r="H12" s="14" t="inlineStr">
        <is>
          <t>Not started</t>
        </is>
      </c>
      <c r="I12" s="14" t="inlineStr"/>
    </row>
    <row r="13">
      <c r="A13" s="4" t="n">
        <v>8</v>
      </c>
      <c r="B13" s="13" t="inlineStr">
        <is>
          <t>Data (Google Drive)</t>
        </is>
      </c>
      <c r="C13" s="4" t="inlineStr">
        <is>
          <t>Source folder (Shared Drive)</t>
        </is>
      </c>
      <c r="D13" s="14" t="inlineStr">
        <is>
          <t>Folder ID: &lt;source folder ID&gt;. Shared Drive folder for incoming vendor lists; users need Contributor on it.</t>
        </is>
      </c>
      <c r="E13" s="4" t="inlineStr">
        <is>
          <t>Every Drive call runs as the signed-in user.</t>
        </is>
      </c>
      <c r="F13" s="4" t="inlineStr">
        <is>
          <t>Business owner / Google Workspace admin</t>
        </is>
      </c>
      <c r="G13" s="4" t="inlineStr">
        <is>
          <t>No</t>
        </is>
      </c>
      <c r="H13" s="14" t="inlineStr">
        <is>
          <t>Not started</t>
        </is>
      </c>
      <c r="I13" s="14" t="inlineStr"/>
    </row>
    <row r="14">
      <c r="A14" s="4" t="n">
        <v>9</v>
      </c>
      <c r="B14" s="13" t="inlineStr">
        <is>
          <t>Data (Google Drive)</t>
        </is>
      </c>
      <c r="C14" s="4" t="inlineStr">
        <is>
          <t>Master dictionary folder (Shared Drive)</t>
        </is>
      </c>
      <c r="D14" s="14" t="inlineStr">
        <is>
          <t>Folder ID: &lt;master dictionary folder ID&gt;. Shared Drive folder for the master vendor dictionary workbook; users need Contributor on it.</t>
        </is>
      </c>
      <c r="E14" s="4" t="inlineStr">
        <is>
          <t>Every Drive call runs as the signed-in user.</t>
        </is>
      </c>
      <c r="F14" s="4" t="inlineStr">
        <is>
          <t>Business owner / Google Workspace admin</t>
        </is>
      </c>
      <c r="G14" s="4" t="inlineStr">
        <is>
          <t>No</t>
        </is>
      </c>
      <c r="H14" s="14" t="inlineStr">
        <is>
          <t>Not started</t>
        </is>
      </c>
      <c r="I14" s="14" t="inlineStr"/>
    </row>
    <row r="15">
      <c r="A15" s="4" t="n">
        <v>10</v>
      </c>
      <c r="B15" s="13" t="inlineStr">
        <is>
          <t>Data (Google Drive)</t>
        </is>
      </c>
      <c r="C15" s="4" t="inlineStr">
        <is>
          <t>Processed folder (Shared Drive)</t>
        </is>
      </c>
      <c r="D15" s="14" t="inlineStr">
        <is>
          <t>Folder ID: &lt;processed folder ID&gt;. Shared Drive folder for processed files and staged review batches; users need Contributor on it.</t>
        </is>
      </c>
      <c r="E15" s="4" t="inlineStr">
        <is>
          <t>Every Drive call runs as the signed-in user.</t>
        </is>
      </c>
      <c r="F15" s="4" t="inlineStr">
        <is>
          <t>Business owner / Google Workspace admin</t>
        </is>
      </c>
      <c r="G15" s="4" t="inlineStr">
        <is>
          <t>No</t>
        </is>
      </c>
      <c r="H15" s="14" t="inlineStr">
        <is>
          <t>Not started</t>
        </is>
      </c>
      <c r="I15" s="14" t="inlineStr"/>
    </row>
    <row r="16">
      <c r="A16" s="4" t="n">
        <v>11</v>
      </c>
      <c r="B16" s="13" t="inlineStr">
        <is>
          <t>Data (Google Drive)</t>
        </is>
      </c>
      <c r="C16" s="4" t="inlineStr">
        <is>
          <t>Master vendor dictionary workbook</t>
        </is>
      </c>
      <c r="D16" s="4" t="inlineStr">
        <is>
          <t>The current master dictionary .xlsx in the master folder (file name unchanged).</t>
        </is>
      </c>
      <c r="E16" s="4" t="inlineStr">
        <is>
          <t>Lookups and approved mappings read and update it.</t>
        </is>
      </c>
      <c r="F16" s="4" t="inlineStr">
        <is>
          <t>Business owner</t>
        </is>
      </c>
      <c r="G16" s="4" t="inlineStr">
        <is>
          <t>No</t>
        </is>
      </c>
      <c r="H16" s="14" t="inlineStr">
        <is>
          <t>Not started</t>
        </is>
      </c>
      <c r="I16" s="14" t="inlineStr"/>
    </row>
    <row r="17">
      <c r="A17" s="4" t="n">
        <v>12</v>
      </c>
      <c r="B17" s="13" t="inlineStr">
        <is>
          <t>Quota</t>
        </is>
      </c>
      <c r="C17" s="4" t="inlineStr">
        <is>
          <t>Vertex AI model quota</t>
        </is>
      </c>
      <c r="D17" s="4" t="inlineStr">
        <is>
          <t>Gemini requests per minute in the deployment region sized for MAX_THREADS (default 10) parallel resolver calls.</t>
        </is>
      </c>
      <c r="E17" s="4" t="inlineStr">
        <is>
          <t>Large batches resolve names in parallel with the model.</t>
        </is>
      </c>
      <c r="F17" s="4" t="inlineStr">
        <is>
          <t>Cloud platform team</t>
        </is>
      </c>
      <c r="G17" s="4" t="inlineStr">
        <is>
          <t>No</t>
        </is>
      </c>
      <c r="H17" s="14" t="inlineStr">
        <is>
          <t>Not started</t>
        </is>
      </c>
      <c r="I17" s="14" t="inlineStr"/>
    </row>
    <row r="18">
      <c r="A18" s="4" t="n">
        <v>13</v>
      </c>
      <c r="B18" s="13" t="inlineStr">
        <is>
          <t>User access</t>
        </is>
      </c>
      <c r="C18" s="4" t="inlineStr">
        <is>
          <t>Who may use the agent</t>
        </is>
      </c>
      <c r="D18" s="14" t="inlineStr">
        <is>
          <t>Group: &lt;Google group of intended users&gt;, each with a Gemini Enterprise license; the agent is shared to that group (optional per-agent access groups are supported). Users also need Contributor on the three folders.</t>
        </is>
      </c>
      <c r="E18" s="4" t="inlineStr">
        <is>
          <t>Controls who sees and runs the agent.</t>
        </is>
      </c>
      <c r="F18" s="4" t="inlineStr">
        <is>
          <t>Business owner / Gemini Enterprise admin</t>
        </is>
      </c>
      <c r="G18" s="4" t="inlineStr">
        <is>
          <t>Partly (sharing yes, licensing no)</t>
        </is>
      </c>
      <c r="H18" s="14" t="inlineStr">
        <is>
          <t>Not started</t>
        </is>
      </c>
      <c r="I18" s="14" t="inlineStr"/>
    </row>
    <row r="19">
      <c r="A19" s="4" t="n">
        <v>14</v>
      </c>
      <c r="B19" s="13" t="inlineStr">
        <is>
          <t>Acceptance</t>
        </is>
      </c>
      <c r="C19" s="4" t="inlineStr">
        <is>
          <t>End-to-end test</t>
        </is>
      </c>
      <c r="D19" s="4" t="inlineStr">
        <is>
          <t>A dictionary lookup for a known vendor returns its master entry.</t>
        </is>
      </c>
      <c r="E19" s="4" t="inlineStr">
        <is>
          <t>Proves the setup works before users are switched over.</t>
        </is>
      </c>
      <c r="F19" s="4" t="inlineStr">
        <is>
          <t>Deployment team (us)</t>
        </is>
      </c>
      <c r="G19" s="4" t="inlineStr">
        <is>
          <t>Yes (run.py test)</t>
        </is>
      </c>
      <c r="H19" s="14" t="inlineStr">
        <is>
          <t>Not started</t>
        </is>
      </c>
      <c r="I19" s="14" t="inlineStr"/>
    </row>
  </sheetData>
  <autoFilter ref="A5:I19"/>
  <dataValidations count="1">
    <dataValidation sqref="H6 H7 H8 H9 H10 H11 H12 H13 H14 H15 H16 H17 H18 H19" showDropDown="0" showInputMessage="0" showErrorMessage="0" allowBlank="1" type="list">
      <formula1>"Not started,Ticket raised,In progress,Done,N/A,Blocked"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38" customWidth="1" min="3" max="3"/>
    <col width="60" customWidth="1" min="4" max="4"/>
    <col width="46" customWidth="1" min="5" max="5"/>
    <col width="24" customWidth="1" min="6" max="6"/>
    <col width="22" customWidth="1" min="7" max="7"/>
    <col width="14" customWidth="1" min="8" max="8"/>
    <col width="30" customWidth="1" min="9" max="9"/>
  </cols>
  <sheetData>
    <row r="1">
      <c r="A1" s="9" t="inlineStr">
        <is>
          <t>Ticket Guidance</t>
        </is>
      </c>
    </row>
    <row r="2">
      <c r="A2" s="10" t="inlineStr">
        <is>
          <t>ADK agent: Confluence KB guidance and Jira tickets.</t>
        </is>
      </c>
    </row>
    <row r="3">
      <c r="A3" s="11" t="inlineStr">
        <is>
          <t>Values in &lt;angle brackets&gt; are placeholders for the client's IT team to decide and fill in (those cells are yellow, like Status and notes); everything else is fixed by Google or by the repository. Details: docs/prod-runbook.md.</t>
        </is>
      </c>
    </row>
    <row r="5">
      <c r="A5" s="12" t="inlineStr">
        <is>
          <t>#</t>
        </is>
      </c>
      <c r="B5" s="12" t="inlineStr">
        <is>
          <t>Area</t>
        </is>
      </c>
      <c r="C5" s="12" t="inlineStr">
        <is>
          <t>Requirement</t>
        </is>
      </c>
      <c r="D5" s="12" t="inlineStr">
        <is>
          <t>Exact value / specification</t>
        </is>
      </c>
      <c r="E5" s="12" t="inlineStr">
        <is>
          <t>Why it is needed</t>
        </is>
      </c>
      <c r="F5" s="12" t="inlineStr">
        <is>
          <t>Who provides it</t>
        </is>
      </c>
      <c r="G5" s="12" t="inlineStr">
        <is>
          <t>Automated by the repo?</t>
        </is>
      </c>
      <c r="H5" s="12" t="inlineStr">
        <is>
          <t>Status</t>
        </is>
      </c>
      <c r="I5" s="12" t="inlineStr">
        <is>
          <t>Ticket / owner / notes</t>
        </is>
      </c>
    </row>
    <row r="6">
      <c r="A6" s="4" t="n">
        <v>1</v>
      </c>
      <c r="B6" s="13" t="inlineStr">
        <is>
          <t>Runtime</t>
        </is>
      </c>
      <c r="C6" s="4" t="inlineStr">
        <is>
          <t>Agent Engine runtime with its own Agent Identity</t>
        </is>
      </c>
      <c r="D6" s="4" t="inlineStr">
        <is>
          <t>Region of the deployment; package ticket-guidance-agent; identity type AGENT_IDENTITY (Google-managed, one per runtime).</t>
        </is>
      </c>
      <c r="E6" s="4" t="inlineStr">
        <is>
          <t>Hosts the code. Its Agent Identity is the agent's own principal, separate from users and from other agents.</t>
        </is>
      </c>
      <c r="F6" s="4" t="inlineStr">
        <is>
          <t>Deployment team (us)</t>
        </is>
      </c>
      <c r="G6" s="4" t="inlineStr">
        <is>
          <t>Yes (run.py deploy)</t>
        </is>
      </c>
      <c r="H6" s="14" t="inlineStr">
        <is>
          <t>Not started</t>
        </is>
      </c>
      <c r="I6" s="14" t="inlineStr"/>
    </row>
    <row r="7">
      <c r="A7" s="4" t="n">
        <v>2</v>
      </c>
      <c r="B7" s="13" t="inlineStr">
        <is>
          <t>Runtime</t>
        </is>
      </c>
      <c r="C7" s="4" t="inlineStr">
        <is>
          <t>Runtime configuration parameter (prompt, model, limits)</t>
        </is>
      </c>
      <c r="D7" s="4" t="inlineStr">
        <is>
          <t>Parameter Manager parameter ticket-guidance-agent-config (global). prompt.md is published to it on deploy. The runtime re-reads it every 30 seconds, so a prompt or model change needs no redeploy.</t>
        </is>
      </c>
      <c r="E7" s="4" t="inlineStr">
        <is>
          <t>Prompts and models are managed as configuration, versioned in Parameter Manager (and editable through the Prompt Manager agent).</t>
        </is>
      </c>
      <c r="F7" s="4" t="inlineStr">
        <is>
          <t>Deployment team (us)</t>
        </is>
      </c>
      <c r="G7" s="4" t="inlineStr">
        <is>
          <t>Yes (run.py deploy)</t>
        </is>
      </c>
      <c r="H7" s="14" t="inlineStr">
        <is>
          <t>Not started</t>
        </is>
      </c>
      <c r="I7" s="14" t="inlineStr"/>
    </row>
    <row r="8">
      <c r="A8" s="4" t="n">
        <v>3</v>
      </c>
      <c r="B8" s="13" t="inlineStr">
        <is>
          <t>Gemini Enterprise</t>
        </is>
      </c>
      <c r="C8" s="4" t="inlineStr">
        <is>
          <t>Agent listing in the app</t>
        </is>
      </c>
      <c r="D8" s="4" t="inlineStr">
        <is>
          <t>Display name: Ticket Guidance Agent</t>
        </is>
      </c>
      <c r="E8" s="4" t="inlineStr">
        <is>
          <t>How users find and run the agent.</t>
        </is>
      </c>
      <c r="F8" s="4" t="inlineStr">
        <is>
          <t>Deployment team (us)</t>
        </is>
      </c>
      <c r="G8" s="4" t="inlineStr">
        <is>
          <t>Yes (run.py deploy)</t>
        </is>
      </c>
      <c r="H8" s="14" t="inlineStr">
        <is>
          <t>Not started</t>
        </is>
      </c>
      <c r="I8" s="14" t="inlineStr"/>
    </row>
    <row r="9">
      <c r="A9" s="4" t="n">
        <v>4</v>
      </c>
      <c r="B9" s="13" t="inlineStr">
        <is>
          <t>Secrets</t>
        </is>
      </c>
      <c r="C9" s="4" t="inlineStr">
        <is>
          <t>Secret ticket-guidance-jira-api-token</t>
        </is>
      </c>
      <c r="D9" s="4" t="inlineStr">
        <is>
          <t>Secret Manager secret 'ticket-guidance-jira-api-token' with a value; roles/secretmanager.secretAccessor granted on this secret only to this agent's identity.</t>
        </is>
      </c>
      <c r="E9" s="4" t="inlineStr">
        <is>
          <t>Read by the agent's tools at run time under its own identity; never in code or config files.</t>
        </is>
      </c>
      <c r="F9" s="4" t="inlineStr">
        <is>
          <t>Cloud IAM / security + value owner</t>
        </is>
      </c>
      <c r="G9" s="4" t="inlineStr">
        <is>
          <t>Grant yes; value no</t>
        </is>
      </c>
      <c r="H9" s="14" t="inlineStr">
        <is>
          <t>Not started</t>
        </is>
      </c>
      <c r="I9" s="14" t="inlineStr"/>
    </row>
    <row r="10">
      <c r="A10" s="4" t="n">
        <v>5</v>
      </c>
      <c r="B10" s="13" t="inlineStr">
        <is>
          <t>OAuth (user sign-in)</t>
        </is>
      </c>
      <c r="C10" s="4" t="inlineStr">
        <is>
          <t>Web OAuth client for this agent</t>
        </is>
      </c>
      <c r="D10" s="14" t="inlineStr">
        <is>
          <t>Google Auth Platform &gt; Clients &gt; Create &gt; Web application. Name: &lt;client name&gt;. Authorized redirect URIs (both): https://vertexaisearch.cloud.google.com/static/oauth/oauth.html and https://vertexaisearch.cloud.google.com/oauth-redirect. Client ID: &lt;client ID&gt;. Deliver the JSON (with the secret) through the approved secret channel, never email or chat.</t>
        </is>
      </c>
      <c r="E10" s="4" t="inlineStr">
        <is>
          <t>The agent acts as the signed-in user; Gemini Enterprise runs this OAuth flow the first time each user clicks Authorize. One client per agent: consent is cached per client.</t>
        </is>
      </c>
      <c r="F10" s="4" t="inlineStr">
        <is>
          <t>Cloud platform team</t>
        </is>
      </c>
      <c r="G10" s="4" t="inlineStr">
        <is>
          <t>No (console only)</t>
        </is>
      </c>
      <c r="H10" s="14" t="inlineStr">
        <is>
          <t>Not started</t>
        </is>
      </c>
      <c r="I10" s="14" t="inlineStr"/>
    </row>
    <row r="11">
      <c r="A11" s="4" t="n">
        <v>6</v>
      </c>
      <c r="B11" s="13" t="inlineStr">
        <is>
          <t>OAuth (user sign-in)</t>
        </is>
      </c>
      <c r="C11" s="4" t="inlineStr">
        <is>
          <t>Scopes on the OAuth consent screen</t>
        </is>
      </c>
      <c r="D11" s="4" t="inlineStr">
        <is>
          <t>openid, email, profile, https://www.googleapis.com/auth/cloud-platform  [short: openid, email, profile, cloud-platform]</t>
        </is>
      </c>
      <c r="E11" s="4" t="inlineStr">
        <is>
          <t>Users are asked to consent to exactly these. Missing a scope breaks consent and cannot be fixed on an existing authorization without recreating it.</t>
        </is>
      </c>
      <c r="F11" s="4" t="inlineStr">
        <is>
          <t>Cloud platform team</t>
        </is>
      </c>
      <c r="G11" s="4" t="inlineStr">
        <is>
          <t>No (console only)</t>
        </is>
      </c>
      <c r="H11" s="14" t="inlineStr">
        <is>
          <t>Not started</t>
        </is>
      </c>
      <c r="I11" s="14" t="inlineStr"/>
    </row>
    <row r="12">
      <c r="A12" s="4" t="n">
        <v>7</v>
      </c>
      <c r="B12" s="13" t="inlineStr">
        <is>
          <t>OAuth (user sign-in)</t>
        </is>
      </c>
      <c r="C12" s="4" t="inlineStr">
        <is>
          <t>Workspace trust for the client (if user consent is restricted)</t>
        </is>
      </c>
      <c r="D12" s="4" t="inlineStr">
        <is>
          <t>Admin console &gt; Security &gt; API controls &gt; App access control: mark the client ID as Trusted (or allow its scopes).</t>
        </is>
      </c>
      <c r="E12" s="4" t="inlineStr">
        <is>
          <t>Sensitive or restricted scopes (Drive, Docs, Sheets, cloud-platform) are often blocked for user consent in managed domains.</t>
        </is>
      </c>
      <c r="F12" s="4" t="inlineStr">
        <is>
          <t>Google Workspace admin</t>
        </is>
      </c>
      <c r="G12" s="4" t="inlineStr">
        <is>
          <t>No (console only)</t>
        </is>
      </c>
      <c r="H12" s="14" t="inlineStr">
        <is>
          <t>Not started</t>
        </is>
      </c>
      <c r="I12" s="14" t="inlineStr"/>
    </row>
    <row r="13">
      <c r="A13" s="4" t="n">
        <v>8</v>
      </c>
      <c r="B13" s="13" t="inlineStr">
        <is>
          <t>Gemini Enterprise</t>
        </is>
      </c>
      <c r="C13" s="4" t="inlineStr">
        <is>
          <t>Authorization resource</t>
        </is>
      </c>
      <c r="D13" s="4" t="inlineStr">
        <is>
          <t>ticket-guidance-agent-authz (created by the deployment from the client above)</t>
        </is>
      </c>
      <c r="E13" s="4" t="inlineStr">
        <is>
          <t>Links the agent to the OAuth client; the user's token reaches the agent through it.</t>
        </is>
      </c>
      <c r="F13" s="4" t="inlineStr">
        <is>
          <t>Deployment team (us)</t>
        </is>
      </c>
      <c r="G13" s="4" t="inlineStr">
        <is>
          <t>Yes (run.py deploy)</t>
        </is>
      </c>
      <c r="H13" s="14" t="inlineStr">
        <is>
          <t>Not started</t>
        </is>
      </c>
      <c r="I13" s="14" t="inlineStr"/>
    </row>
    <row r="14">
      <c r="A14" s="4" t="n">
        <v>9</v>
      </c>
      <c r="B14" s="13" t="inlineStr">
        <is>
          <t>Atlassian</t>
        </is>
      </c>
      <c r="C14" s="4" t="inlineStr">
        <is>
          <t>Dedicated Atlassian service account</t>
        </is>
      </c>
      <c r="D14" s="14" t="inlineStr">
        <is>
          <t>Account: &lt;Atlassian service account email&gt; on &lt;Atlassian site URL&gt;. An Atlassian account (not a person's) with: Jira Browse Projects, Create Issues, Modify Reporter, Transition Issues and Edit Issues in the target project; Confluence read on the knowledge base space.</t>
        </is>
      </c>
      <c r="E14" s="4" t="inlineStr">
        <is>
          <t>Jira is called as this account; the requesting user is set as reporter by email.</t>
        </is>
      </c>
      <c r="F14" s="4" t="inlineStr">
        <is>
          <t>Atlassian admin</t>
        </is>
      </c>
      <c r="G14" s="4" t="inlineStr">
        <is>
          <t>No</t>
        </is>
      </c>
      <c r="H14" s="14" t="inlineStr">
        <is>
          <t>Not started</t>
        </is>
      </c>
      <c r="I14" s="14" t="inlineStr"/>
    </row>
    <row r="15">
      <c r="A15" s="4" t="n">
        <v>10</v>
      </c>
      <c r="B15" s="13" t="inlineStr">
        <is>
          <t>Atlassian</t>
        </is>
      </c>
      <c r="C15" s="4" t="inlineStr">
        <is>
          <t>API token for that account</t>
        </is>
      </c>
      <c r="D15" s="14" t="inlineStr">
        <is>
          <t>id.atlassian.com &gt; Security &gt; API tokens (classic). Stored as the secret above; API base is the site URL (a scoped token needs api.atlassian.com/ex/jira/&lt;cloudId&gt;).</t>
        </is>
      </c>
      <c r="E15" s="4" t="inlineStr">
        <is>
          <t>Authenticates the Jira (and, in api mode, Confluence) calls.</t>
        </is>
      </c>
      <c r="F15" s="4" t="inlineStr">
        <is>
          <t>Atlassian admin</t>
        </is>
      </c>
      <c r="G15" s="4" t="inlineStr">
        <is>
          <t>No</t>
        </is>
      </c>
      <c r="H15" s="14" t="inlineStr">
        <is>
          <t>Not started</t>
        </is>
      </c>
      <c r="I15" s="14" t="inlineStr"/>
    </row>
    <row r="16">
      <c r="A16" s="4" t="n">
        <v>11</v>
      </c>
      <c r="B16" s="13" t="inlineStr">
        <is>
          <t>Atlassian</t>
        </is>
      </c>
      <c r="C16" s="4" t="inlineStr">
        <is>
          <t>Jira project and workflow</t>
        </is>
      </c>
      <c r="D16" s="14" t="inlineStr">
        <is>
          <t>Project key: &lt;Jira project key&gt;; issue types 'Service Request' and 'Incident Request'; statuses 'Done' and 'In Progress' reachable from the initial status; optional parent epic.</t>
        </is>
      </c>
      <c r="E16" s="4" t="inlineStr">
        <is>
          <t>Tickets are raised there and moved to Done or In Progress by the conversation.</t>
        </is>
      </c>
      <c r="F16" s="4" t="inlineStr">
        <is>
          <t>Atlassian admin</t>
        </is>
      </c>
      <c r="G16" s="4" t="inlineStr">
        <is>
          <t>Checked by run.py seed</t>
        </is>
      </c>
      <c r="H16" s="14" t="inlineStr">
        <is>
          <t>Not started</t>
        </is>
      </c>
      <c r="I16" s="14" t="inlineStr"/>
    </row>
    <row r="17">
      <c r="A17" s="4" t="n">
        <v>12</v>
      </c>
      <c r="B17" s="13" t="inlineStr">
        <is>
          <t>Atlassian</t>
        </is>
      </c>
      <c r="C17" s="4" t="inlineStr">
        <is>
          <t>Knowledge base space</t>
        </is>
      </c>
      <c r="D17" s="14" t="inlineStr">
        <is>
          <t>Space key: &lt;Confluence knowledge base space key&gt;.</t>
        </is>
      </c>
      <c r="E17" s="4" t="inlineStr">
        <is>
          <t>Guidance is answered only from this space.</t>
        </is>
      </c>
      <c r="F17" s="4" t="inlineStr">
        <is>
          <t>Atlassian admin</t>
        </is>
      </c>
      <c r="G17" s="4" t="inlineStr">
        <is>
          <t>No</t>
        </is>
      </c>
      <c r="H17" s="14" t="inlineStr">
        <is>
          <t>Not started</t>
        </is>
      </c>
      <c r="I17" s="14" t="inlineStr"/>
    </row>
    <row r="18">
      <c r="A18" s="4" t="n">
        <v>13</v>
      </c>
      <c r="B18" s="13" t="inlineStr">
        <is>
          <t>Atlassian</t>
        </is>
      </c>
      <c r="C18" s="4" t="inlineStr">
        <is>
          <t>Atlassian OAuth 2.0 (3LO) app for the Confluence connector</t>
        </is>
      </c>
      <c r="D18" s="4" t="inlineStr">
        <is>
          <t>developer.atlassian.com &gt; Create &gt; OAuth 2.0 integration, resource-level. Callback: https://vertexaisearch.cloud.google.com/console/oauth/confluence_oauth.html. Confluence granular scopes: read:content-details, read:attachment, read:comment, read:page, read:whiteboard, read:space, read:group, read:user, read:content.metadata, read:configuration (each ':confluence'). Distribution: sharing, vendor Google, privacy policy https://policies.google.com.</t>
        </is>
      </c>
      <c r="E18" s="4" t="inlineStr">
        <is>
          <t>The Gemini Enterprise connector ingests Confluence with it.</t>
        </is>
      </c>
      <c r="F18" s="4" t="inlineStr">
        <is>
          <t>Atlassian admin</t>
        </is>
      </c>
      <c r="G18" s="4" t="inlineStr">
        <is>
          <t>No (console only)</t>
        </is>
      </c>
      <c r="H18" s="14" t="inlineStr">
        <is>
          <t>Not started</t>
        </is>
      </c>
      <c r="I18" s="14" t="inlineStr"/>
    </row>
    <row r="19">
      <c r="A19" s="4" t="n">
        <v>14</v>
      </c>
      <c r="B19" s="13" t="inlineStr">
        <is>
          <t>Gemini Enterprise</t>
        </is>
      </c>
      <c r="C19" s="4" t="inlineStr">
        <is>
          <t>Identity provider for access control</t>
        </is>
      </c>
      <c r="D19" s="4" t="inlineStr">
        <is>
          <t>Gemini Enterprise &gt; Settings &gt; Authentication: Google Identity for location global. Requires the Cloud project's organization to be a Workspace/Cloud Identity org.</t>
        </is>
      </c>
      <c r="E19" s="4" t="inlineStr">
        <is>
          <t>Ingested Confluence content is filtered by each user's Confluence permissions.</t>
        </is>
      </c>
      <c r="F19" s="4" t="inlineStr">
        <is>
          <t>Gemini Enterprise admin</t>
        </is>
      </c>
      <c r="G19" s="4" t="inlineStr">
        <is>
          <t>No (console only)</t>
        </is>
      </c>
      <c r="H19" s="14" t="inlineStr">
        <is>
          <t>Not started</t>
        </is>
      </c>
      <c r="I19" s="14" t="inlineStr"/>
    </row>
    <row r="20">
      <c r="A20" s="4" t="n">
        <v>15</v>
      </c>
      <c r="B20" s="13" t="inlineStr">
        <is>
          <t>Gemini Enterprise</t>
        </is>
      </c>
      <c r="C20" s="4" t="inlineStr">
        <is>
          <t>Confluence Cloud connector (data ingestion)</t>
        </is>
      </c>
      <c r="D20" s="14" t="inlineStr">
        <is>
          <t>Data stores &gt; Create &gt; Confluence Cloud &gt; Data ingestion &gt; OAuth 2.0 client credentials. Instance URI = site URL; Instance ID = cloudId from &lt;site&gt;/_edge/tenant_info. Entities: Page, Blog, Comment. Full sync daily, incremental every 3 hours. Collection ID: &lt;collection ID&gt;.</t>
        </is>
      </c>
      <c r="E20" s="4" t="inlineStr">
        <is>
          <t>The agent searches its page, blog and comment data stores as the signed-in user.</t>
        </is>
      </c>
      <c r="F20" s="4" t="inlineStr">
        <is>
          <t>Gemini Enterprise admin</t>
        </is>
      </c>
      <c r="G20" s="4" t="inlineStr">
        <is>
          <t>No (console only)</t>
        </is>
      </c>
      <c r="H20" s="14" t="inlineStr">
        <is>
          <t>Not started</t>
        </is>
      </c>
      <c r="I20" s="14" t="inlineStr"/>
    </row>
    <row r="21">
      <c r="A21" s="4" t="n">
        <v>16</v>
      </c>
      <c r="B21" s="13" t="inlineStr">
        <is>
          <t>User access</t>
        </is>
      </c>
      <c r="C21" s="4" t="inlineStr">
        <is>
          <t>Who may use the agent</t>
        </is>
      </c>
      <c r="D21" s="14" t="inlineStr">
        <is>
          <t>Group: &lt;Google group of intended users&gt;, each with a Gemini Enterprise license; the agent is shared to that group (optional per-agent access groups are supported). Users' emails must match their Atlassian accounts.</t>
        </is>
      </c>
      <c r="E21" s="4" t="inlineStr">
        <is>
          <t>Controls who sees and runs the agent.</t>
        </is>
      </c>
      <c r="F21" s="4" t="inlineStr">
        <is>
          <t>Business owner / Gemini Enterprise admin</t>
        </is>
      </c>
      <c r="G21" s="4" t="inlineStr">
        <is>
          <t>Partly (sharing yes, licensing no)</t>
        </is>
      </c>
      <c r="H21" s="14" t="inlineStr">
        <is>
          <t>Not started</t>
        </is>
      </c>
      <c r="I21" s="14" t="inlineStr"/>
    </row>
    <row r="22">
      <c r="A22" s="4" t="n">
        <v>17</v>
      </c>
      <c r="B22" s="13" t="inlineStr">
        <is>
          <t>Acceptance</t>
        </is>
      </c>
      <c r="C22" s="4" t="inlineStr">
        <is>
          <t>End-to-end test</t>
        </is>
      </c>
      <c r="D22" s="4" t="inlineStr">
        <is>
          <t>A known issue returns KB guidance and a ticket with the user as reporter; 'resolved' moves it to Done.</t>
        </is>
      </c>
      <c r="E22" s="4" t="inlineStr">
        <is>
          <t>Proves the setup works before users are switched over.</t>
        </is>
      </c>
      <c r="F22" s="4" t="inlineStr">
        <is>
          <t>Deployment team (us)</t>
        </is>
      </c>
      <c r="G22" s="4" t="inlineStr">
        <is>
          <t>Yes (run.py test)</t>
        </is>
      </c>
      <c r="H22" s="14" t="inlineStr">
        <is>
          <t>Not started</t>
        </is>
      </c>
      <c r="I22" s="14" t="inlineStr"/>
    </row>
  </sheetData>
  <autoFilter ref="A5:I22"/>
  <dataValidations count="1">
    <dataValidation sqref="H6 H7 H8 H9 H10 H11 H12 H13 H14 H15 H16 H17 H18 H19 H20 H21 H22" showDropDown="0" showInputMessage="0" showErrorMessage="0" allowBlank="1" type="list">
      <formula1>"Not started,Ticket raised,In progress,Done,N/A,Blocked"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38" customWidth="1" min="3" max="3"/>
    <col width="60" customWidth="1" min="4" max="4"/>
    <col width="46" customWidth="1" min="5" max="5"/>
    <col width="24" customWidth="1" min="6" max="6"/>
    <col width="22" customWidth="1" min="7" max="7"/>
    <col width="14" customWidth="1" min="8" max="8"/>
    <col width="30" customWidth="1" min="9" max="9"/>
  </cols>
  <sheetData>
    <row r="1">
      <c r="A1" s="9" t="inlineStr">
        <is>
          <t>Prompt Manager</t>
        </is>
      </c>
    </row>
    <row r="2">
      <c r="A2" s="10" t="inlineStr">
        <is>
          <t>ADK agent: view and change code agents' prompts and models in Parameter Manager.</t>
        </is>
      </c>
    </row>
    <row r="3">
      <c r="A3" s="11" t="inlineStr">
        <is>
          <t>Values in &lt;angle brackets&gt; are placeholders for the client's IT team to decide and fill in (those cells are yellow, like Status and notes); everything else is fixed by Google or by the repository. Details: docs/prod-runbook.md.</t>
        </is>
      </c>
    </row>
    <row r="5">
      <c r="A5" s="12" t="inlineStr">
        <is>
          <t>#</t>
        </is>
      </c>
      <c r="B5" s="12" t="inlineStr">
        <is>
          <t>Area</t>
        </is>
      </c>
      <c r="C5" s="12" t="inlineStr">
        <is>
          <t>Requirement</t>
        </is>
      </c>
      <c r="D5" s="12" t="inlineStr">
        <is>
          <t>Exact value / specification</t>
        </is>
      </c>
      <c r="E5" s="12" t="inlineStr">
        <is>
          <t>Why it is needed</t>
        </is>
      </c>
      <c r="F5" s="12" t="inlineStr">
        <is>
          <t>Who provides it</t>
        </is>
      </c>
      <c r="G5" s="12" t="inlineStr">
        <is>
          <t>Automated by the repo?</t>
        </is>
      </c>
      <c r="H5" s="12" t="inlineStr">
        <is>
          <t>Status</t>
        </is>
      </c>
      <c r="I5" s="12" t="inlineStr">
        <is>
          <t>Ticket / owner / notes</t>
        </is>
      </c>
    </row>
    <row r="6">
      <c r="A6" s="4" t="n">
        <v>1</v>
      </c>
      <c r="B6" s="13" t="inlineStr">
        <is>
          <t>Runtime</t>
        </is>
      </c>
      <c r="C6" s="4" t="inlineStr">
        <is>
          <t>Agent Engine runtime with its own Agent Identity</t>
        </is>
      </c>
      <c r="D6" s="4" t="inlineStr">
        <is>
          <t>Region of the deployment; package parameter-updater; identity type AGENT_IDENTITY (Google-managed, one per runtime).</t>
        </is>
      </c>
      <c r="E6" s="4" t="inlineStr">
        <is>
          <t>Hosts the code. Its Agent Identity is the agent's own principal, separate from users and from other agents.</t>
        </is>
      </c>
      <c r="F6" s="4" t="inlineStr">
        <is>
          <t>Deployment team (us)</t>
        </is>
      </c>
      <c r="G6" s="4" t="inlineStr">
        <is>
          <t>Yes (run.py deploy)</t>
        </is>
      </c>
      <c r="H6" s="14" t="inlineStr">
        <is>
          <t>Not started</t>
        </is>
      </c>
      <c r="I6" s="14" t="inlineStr"/>
    </row>
    <row r="7">
      <c r="A7" s="4" t="n">
        <v>2</v>
      </c>
      <c r="B7" s="13" t="inlineStr">
        <is>
          <t>Runtime</t>
        </is>
      </c>
      <c r="C7" s="4" t="inlineStr">
        <is>
          <t>Runtime configuration parameter (prompt, model, limits)</t>
        </is>
      </c>
      <c r="D7" s="4" t="inlineStr">
        <is>
          <t>Parameter Manager parameter parameter-updater-config (global). prompt.md is published to it on deploy. The runtime re-reads it every 30 seconds, so a prompt or model change needs no redeploy.</t>
        </is>
      </c>
      <c r="E7" s="4" t="inlineStr">
        <is>
          <t>Prompts and models are managed as configuration, versioned in Parameter Manager (and editable through the Prompt Manager agent).</t>
        </is>
      </c>
      <c r="F7" s="4" t="inlineStr">
        <is>
          <t>Deployment team (us)</t>
        </is>
      </c>
      <c r="G7" s="4" t="inlineStr">
        <is>
          <t>Yes (run.py deploy)</t>
        </is>
      </c>
      <c r="H7" s="14" t="inlineStr">
        <is>
          <t>Not started</t>
        </is>
      </c>
      <c r="I7" s="14" t="inlineStr"/>
    </row>
    <row r="8">
      <c r="A8" s="4" t="n">
        <v>3</v>
      </c>
      <c r="B8" s="13" t="inlineStr">
        <is>
          <t>Gemini Enterprise</t>
        </is>
      </c>
      <c r="C8" s="4" t="inlineStr">
        <is>
          <t>Agent listing in the app</t>
        </is>
      </c>
      <c r="D8" s="4" t="inlineStr">
        <is>
          <t>Display name: Prompt Manager</t>
        </is>
      </c>
      <c r="E8" s="4" t="inlineStr">
        <is>
          <t>How users find and run the agent.</t>
        </is>
      </c>
      <c r="F8" s="4" t="inlineStr">
        <is>
          <t>Deployment team (us)</t>
        </is>
      </c>
      <c r="G8" s="4" t="inlineStr">
        <is>
          <t>Yes (run.py deploy)</t>
        </is>
      </c>
      <c r="H8" s="14" t="inlineStr">
        <is>
          <t>Not started</t>
        </is>
      </c>
      <c r="I8" s="14" t="inlineStr"/>
    </row>
    <row r="9">
      <c r="A9" s="4" t="n">
        <v>4</v>
      </c>
      <c r="B9" s="13" t="inlineStr">
        <is>
          <t>IAM (agent identity)</t>
        </is>
      </c>
      <c r="C9" s="4" t="inlineStr">
        <is>
          <t>Project role for this agent's identity: roles/parametermanager.parameterViewer</t>
        </is>
      </c>
      <c r="D9" s="4" t="inlineStr">
        <is>
          <t>Grant roles/parametermanager.parameterViewer on the project to this runtime's Agent Identity only (principal printed by the deployment).</t>
        </is>
      </c>
      <c r="E9" s="4" t="inlineStr">
        <is>
          <t>Needed by this agent's own tools, beyond the shared baseline.</t>
        </is>
      </c>
      <c r="F9" s="4" t="inlineStr">
        <is>
          <t>Cloud IAM / security</t>
        </is>
      </c>
      <c r="G9" s="4" t="inlineStr">
        <is>
          <t>Yes, if the deployer may set IAM</t>
        </is>
      </c>
      <c r="H9" s="14" t="inlineStr">
        <is>
          <t>Not started</t>
        </is>
      </c>
      <c r="I9" s="14" t="inlineStr"/>
    </row>
    <row r="10">
      <c r="A10" s="4" t="n">
        <v>5</v>
      </c>
      <c r="B10" s="13" t="inlineStr">
        <is>
          <t>IAM (agent identity)</t>
        </is>
      </c>
      <c r="C10" s="4" t="inlineStr">
        <is>
          <t>Project role for this agent's identity: roles/parametermanager.parameterVersionAdder</t>
        </is>
      </c>
      <c r="D10" s="4" t="inlineStr">
        <is>
          <t>Grant roles/parametermanager.parameterVersionAdder on the project to this runtime's Agent Identity only (principal printed by the deployment).</t>
        </is>
      </c>
      <c r="E10" s="4" t="inlineStr">
        <is>
          <t>Needed by this agent's own tools, beyond the shared baseline.</t>
        </is>
      </c>
      <c r="F10" s="4" t="inlineStr">
        <is>
          <t>Cloud IAM / security</t>
        </is>
      </c>
      <c r="G10" s="4" t="inlineStr">
        <is>
          <t>Yes, if the deployer may set IAM</t>
        </is>
      </c>
      <c r="H10" s="14" t="inlineStr">
        <is>
          <t>Not started</t>
        </is>
      </c>
      <c r="I10" s="14" t="inlineStr"/>
    </row>
    <row r="11">
      <c r="A11" s="4" t="n">
        <v>6</v>
      </c>
      <c r="B11" s="13" t="inlineStr">
        <is>
          <t>Governance</t>
        </is>
      </c>
      <c r="C11" s="4" t="inlineStr">
        <is>
          <t>Who may change prompts</t>
        </is>
      </c>
      <c r="D11" s="14" t="inlineStr">
        <is>
          <t>Restrict this agent to &lt;prompt owners group&gt;. Every change is shown as a diff and published only after confirmation; versions are never deleted or rewritten.</t>
        </is>
      </c>
      <c r="E11" s="4" t="inlineStr">
        <is>
          <t>It changes other agents' live behaviour without a deployment.</t>
        </is>
      </c>
      <c r="F11" s="4" t="inlineStr">
        <is>
          <t>Business owner / Gemini Enterprise admin</t>
        </is>
      </c>
      <c r="G11" s="4" t="inlineStr">
        <is>
          <t>Partly (sharing yes)</t>
        </is>
      </c>
      <c r="H11" s="14" t="inlineStr">
        <is>
          <t>Not started</t>
        </is>
      </c>
      <c r="I11" s="14" t="inlineStr"/>
    </row>
    <row r="12">
      <c r="A12" s="4" t="n">
        <v>7</v>
      </c>
      <c r="B12" s="13" t="inlineStr">
        <is>
          <t>User access</t>
        </is>
      </c>
      <c r="C12" s="4" t="inlineStr">
        <is>
          <t>Who may use the agent</t>
        </is>
      </c>
      <c r="D12" s="14" t="inlineStr">
        <is>
          <t>Group: &lt;Google group of intended users&gt;, each with a Gemini Enterprise license; the agent is shared to that group (optional per-agent access groups are supported). Normally a small admin group only.</t>
        </is>
      </c>
      <c r="E12" s="4" t="inlineStr">
        <is>
          <t>Controls who sees and runs the agent.</t>
        </is>
      </c>
      <c r="F12" s="4" t="inlineStr">
        <is>
          <t>Business owner / Gemini Enterprise admin</t>
        </is>
      </c>
      <c r="G12" s="4" t="inlineStr">
        <is>
          <t>Partly (sharing yes, licensing no)</t>
        </is>
      </c>
      <c r="H12" s="14" t="inlineStr">
        <is>
          <t>Not started</t>
        </is>
      </c>
      <c r="I12" s="14" t="inlineStr"/>
    </row>
    <row r="13">
      <c r="A13" s="4" t="n">
        <v>8</v>
      </c>
      <c r="B13" s="13" t="inlineStr">
        <is>
          <t>Acceptance</t>
        </is>
      </c>
      <c r="C13" s="4" t="inlineStr">
        <is>
          <t>End-to-end test</t>
        </is>
      </c>
      <c r="D13" s="4" t="inlineStr">
        <is>
          <t>Listing the agent configurations returns every code agent's parameter.</t>
        </is>
      </c>
      <c r="E13" s="4" t="inlineStr">
        <is>
          <t>Proves the setup works before users are switched over.</t>
        </is>
      </c>
      <c r="F13" s="4" t="inlineStr">
        <is>
          <t>Deployment team (us)</t>
        </is>
      </c>
      <c r="G13" s="4" t="inlineStr">
        <is>
          <t>Yes (run.py test)</t>
        </is>
      </c>
      <c r="H13" s="14" t="inlineStr">
        <is>
          <t>Not started</t>
        </is>
      </c>
      <c r="I13" s="14" t="inlineStr"/>
    </row>
  </sheetData>
  <autoFilter ref="A5:I13"/>
  <dataValidations count="1">
    <dataValidation sqref="H6 H7 H8 H9 H10 H11 H12 H13" showDropDown="0" showInputMessage="0" showErrorMessage="0" allowBlank="1" type="list">
      <formula1>"Not started,Ticket raised,In progress,Done,N/A,Blocked"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38" customWidth="1" min="3" max="3"/>
    <col width="60" customWidth="1" min="4" max="4"/>
    <col width="46" customWidth="1" min="5" max="5"/>
    <col width="24" customWidth="1" min="6" max="6"/>
    <col width="22" customWidth="1" min="7" max="7"/>
    <col width="14" customWidth="1" min="8" max="8"/>
    <col width="30" customWidth="1" min="9" max="9"/>
  </cols>
  <sheetData>
    <row r="1">
      <c r="A1" s="9" t="inlineStr">
        <is>
          <t>Kitchen Sequencer</t>
        </is>
      </c>
    </row>
    <row r="2">
      <c r="A2" s="10" t="inlineStr">
        <is>
          <t>No-code agent: kitchen compliance from curated BigQuery tables.</t>
        </is>
      </c>
    </row>
    <row r="3">
      <c r="A3" s="11" t="inlineStr">
        <is>
          <t>Values in &lt;angle brackets&gt; are placeholders for the client's IT team to decide and fill in (those cells are yellow, like Status and notes); everything else is fixed by Google or by the repository. Details: docs/prod-runbook.md.</t>
        </is>
      </c>
    </row>
    <row r="5">
      <c r="A5" s="12" t="inlineStr">
        <is>
          <t>#</t>
        </is>
      </c>
      <c r="B5" s="12" t="inlineStr">
        <is>
          <t>Area</t>
        </is>
      </c>
      <c r="C5" s="12" t="inlineStr">
        <is>
          <t>Requirement</t>
        </is>
      </c>
      <c r="D5" s="12" t="inlineStr">
        <is>
          <t>Exact value / specification</t>
        </is>
      </c>
      <c r="E5" s="12" t="inlineStr">
        <is>
          <t>Why it is needed</t>
        </is>
      </c>
      <c r="F5" s="12" t="inlineStr">
        <is>
          <t>Who provides it</t>
        </is>
      </c>
      <c r="G5" s="12" t="inlineStr">
        <is>
          <t>Automated by the repo?</t>
        </is>
      </c>
      <c r="H5" s="12" t="inlineStr">
        <is>
          <t>Status</t>
        </is>
      </c>
      <c r="I5" s="12" t="inlineStr">
        <is>
          <t>Ticket / owner / notes</t>
        </is>
      </c>
    </row>
    <row r="6">
      <c r="A6" s="4" t="n">
        <v>1</v>
      </c>
      <c r="B6" s="13" t="inlineStr">
        <is>
          <t>Gemini Enterprise</t>
        </is>
      </c>
      <c r="C6" s="4" t="inlineStr">
        <is>
          <t>No-code agent</t>
        </is>
      </c>
      <c r="D6" s="4" t="inlineStr">
        <is>
          <t>agents/no_code/kitchen_sequencer (instruction, model, starter prompts, connector).</t>
        </is>
      </c>
      <c r="E6" s="4" t="inlineStr">
        <is>
          <t>Kitchen compliance insights from curated tables, replacing the Looker dashboards.</t>
        </is>
      </c>
      <c r="F6" s="4" t="inlineStr">
        <is>
          <t>Deployment team (us)</t>
        </is>
      </c>
      <c r="G6" s="4" t="inlineStr">
        <is>
          <t>Yes (run.py deploy), then one Create/Update click</t>
        </is>
      </c>
      <c r="H6" s="14" t="inlineStr">
        <is>
          <t>Not started</t>
        </is>
      </c>
      <c r="I6" s="14" t="inlineStr"/>
    </row>
    <row r="7">
      <c r="A7" s="4" t="n">
        <v>2</v>
      </c>
      <c r="B7" s="13" t="inlineStr">
        <is>
          <t>Data (BigQuery)</t>
        </is>
      </c>
      <c r="C7" s="4" t="inlineStr">
        <is>
          <t>Curated dataset and daily refresh</t>
        </is>
      </c>
      <c r="D7" s="14" t="inlineStr">
        <is>
          <t>Dataset kitchen_compliance (US) with 4 tables rebuilt daily by BigQuery scheduled queries (infrastructure/sql/kitchen_compliance), run by service account kitchen-compliance-refresh@&lt;project&gt;.iam.gserviceaccount.com (bigquery.dataEditor on the dataset, bigquery.jobUser on the project).</t>
        </is>
      </c>
      <c r="E7" s="4" t="inlineStr">
        <is>
          <t>The agent answers only from these tables.</t>
        </is>
      </c>
      <c r="F7" s="4" t="inlineStr">
        <is>
          <t>Deployment team (us) (Terraform)</t>
        </is>
      </c>
      <c r="G7" s="4" t="inlineStr">
        <is>
          <t>Yes (Terraform)</t>
        </is>
      </c>
      <c r="H7" s="14" t="inlineStr">
        <is>
          <t>Not started</t>
        </is>
      </c>
      <c r="I7" s="14" t="inlineStr"/>
    </row>
    <row r="8">
      <c r="A8" s="4" t="n">
        <v>3</v>
      </c>
      <c r="B8" s="13" t="inlineStr">
        <is>
          <t>Data (BigQuery)</t>
        </is>
      </c>
      <c r="C8" s="4" t="inlineStr">
        <is>
          <t>Source data read for the refresh account</t>
        </is>
      </c>
      <c r="D8" s="14" t="inlineStr">
        <is>
          <t>roles/bigquery.dataViewer on &lt;source project&gt;.&lt;source dataset&gt; (the order and item compliance tables) for kitchen-compliance-refresh@&lt;project&gt;.iam.gserviceaccount.com. APIs: bigquerydatatransfer.googleapis.com.</t>
        </is>
      </c>
      <c r="E8" s="4" t="inlineStr">
        <is>
          <t>The scheduled queries read the order and item compliance tables.</t>
        </is>
      </c>
      <c r="F8" s="4" t="inlineStr">
        <is>
          <t>Data owner (BigQuery)</t>
        </is>
      </c>
      <c r="G8" s="4" t="inlineStr">
        <is>
          <t>No</t>
        </is>
      </c>
      <c r="H8" s="14" t="inlineStr">
        <is>
          <t>Not started</t>
        </is>
      </c>
      <c r="I8" s="14" t="inlineStr"/>
    </row>
    <row r="9">
      <c r="A9" s="4" t="n">
        <v>4</v>
      </c>
      <c r="B9" s="13" t="inlineStr">
        <is>
          <t>Gemini Enterprise</t>
        </is>
      </c>
      <c r="C9" s="4" t="inlineStr">
        <is>
          <t>BigQuery MCP connector (shared by both no-code agents)</t>
        </is>
      </c>
      <c r="D9" s="4" t="inlineStr">
        <is>
          <t>Custom MCP server https://bigquery.googleapis.com/mcp, OAuth (auth URI https://accounts.google.com/o/oauth2/v2/auth, extra params &amp;access_type=offline&amp;prompt=consent, token URI https://oauth2.googleapis.com/token, scope https://www.googleapis.com/auth/bigquery) with its own Web OAuth client (both redirect URIs: https://vertexaisearch.cloud.google.com/static/oauth/oauth.html, https://vertexaisearch.cloud.google.com/oauth-redirect).</t>
        </is>
      </c>
      <c r="E9" s="4" t="inlineStr">
        <is>
          <t>The agent queries BigQuery through it as the signed-in user.</t>
        </is>
      </c>
      <c r="F9" s="4" t="inlineStr">
        <is>
          <t>Gemini Enterprise admin + Cloud platform team</t>
        </is>
      </c>
      <c r="G9" s="4" t="inlineStr">
        <is>
          <t>Scriptable (create_mcp_connector.py)</t>
        </is>
      </c>
      <c r="H9" s="14" t="inlineStr">
        <is>
          <t>Not started</t>
        </is>
      </c>
      <c r="I9" s="14" t="inlineStr"/>
    </row>
    <row r="10">
      <c r="A10" s="4" t="n">
        <v>5</v>
      </c>
      <c r="B10" s="13" t="inlineStr">
        <is>
          <t>Org policy</t>
        </is>
      </c>
      <c r="C10" s="4" t="inlineStr">
        <is>
          <t>Allow custom MCP connectors</t>
        </is>
      </c>
      <c r="D10" s="4" t="inlineStr">
        <is>
          <t>constraints/discoveryengine.managed.disableCustomMcpServerConnector: enforce: false on the project.</t>
        </is>
      </c>
      <c r="E10" s="4" t="inlineStr">
        <is>
          <t>New organizations block custom MCP connectors by default.</t>
        </is>
      </c>
      <c r="F10" s="4" t="inlineStr">
        <is>
          <t>Cloud IAM / security</t>
        </is>
      </c>
      <c r="G10" s="4" t="inlineStr">
        <is>
          <t>No</t>
        </is>
      </c>
      <c r="H10" s="14" t="inlineStr">
        <is>
          <t>Not started</t>
        </is>
      </c>
      <c r="I10" s="14" t="inlineStr"/>
    </row>
    <row r="11">
      <c r="A11" s="4" t="n">
        <v>6</v>
      </c>
      <c r="B11" s="13" t="inlineStr">
        <is>
          <t>Gemini Enterprise</t>
        </is>
      </c>
      <c r="C11" s="4" t="inlineStr">
        <is>
          <t>Connect the connector's data store to the app</t>
        </is>
      </c>
      <c r="D11" s="14" t="inlineStr">
        <is>
          <t>Connected data stores &gt; Add existing data stores &gt; &lt;connector&gt;_mcp_data.</t>
        </is>
      </c>
      <c r="E11" s="4" t="inlineStr">
        <is>
          <t>Until then the agent designer does not offer the connector.</t>
        </is>
      </c>
      <c r="F11" s="4" t="inlineStr">
        <is>
          <t>Gemini Enterprise admin</t>
        </is>
      </c>
      <c r="G11" s="4" t="inlineStr">
        <is>
          <t>No (console only)</t>
        </is>
      </c>
      <c r="H11" s="14" t="inlineStr">
        <is>
          <t>Not started</t>
        </is>
      </c>
      <c r="I11" s="14" t="inlineStr"/>
    </row>
    <row r="12">
      <c r="A12" s="4" t="n">
        <v>7</v>
      </c>
      <c r="B12" s="13" t="inlineStr">
        <is>
          <t>Gemini Enterprise</t>
        </is>
      </c>
      <c r="C12" s="4" t="inlineStr">
        <is>
          <t>Enable the connector's actions</t>
        </is>
      </c>
      <c r="D12" s="4" t="inlineStr">
        <is>
          <t>Data stores &gt; the connector &gt; Actions: execute_sql_readonly, list_dataset_ids, get_dataset_info, list_table_ids, get_table_info, get_query_results, get_job. Leave execute_sql off.</t>
        </is>
      </c>
      <c r="E12" s="4" t="inlineStr">
        <is>
          <t>With actions off the agent says the tool is unavailable.</t>
        </is>
      </c>
      <c r="F12" s="4" t="inlineStr">
        <is>
          <t>Gemini Enterprise admin</t>
        </is>
      </c>
      <c r="G12" s="4" t="inlineStr">
        <is>
          <t>No (console only)</t>
        </is>
      </c>
      <c r="H12" s="14" t="inlineStr">
        <is>
          <t>Not started</t>
        </is>
      </c>
      <c r="I12" s="14" t="inlineStr"/>
    </row>
    <row r="13">
      <c r="A13" s="4" t="n">
        <v>8</v>
      </c>
      <c r="B13" s="13" t="inlineStr">
        <is>
          <t>User access</t>
        </is>
      </c>
      <c r="C13" s="4" t="inlineStr">
        <is>
          <t>BigQuery roles for every user</t>
        </is>
      </c>
      <c r="D13" s="4" t="inlineStr">
        <is>
          <t>roles/mcp.toolUser and roles/bigquery.jobUser on the project that runs the queries; roles/bigquery.dataViewer on the kitchen_compliance dataset.</t>
        </is>
      </c>
      <c r="E13" s="4" t="inlineStr">
        <is>
          <t>Queries run as the user; the agent cannot elevate.</t>
        </is>
      </c>
      <c r="F13" s="4" t="inlineStr">
        <is>
          <t>Cloud IAM / security / Data owner (BigQuery)</t>
        </is>
      </c>
      <c r="G13" s="4" t="inlineStr">
        <is>
          <t>No</t>
        </is>
      </c>
      <c r="H13" s="14" t="inlineStr">
        <is>
          <t>Not started</t>
        </is>
      </c>
      <c r="I13" s="14" t="inlineStr"/>
    </row>
    <row r="14">
      <c r="A14" s="4" t="n">
        <v>9</v>
      </c>
      <c r="B14" s="13" t="inlineStr">
        <is>
          <t>Gemini Enterprise</t>
        </is>
      </c>
      <c r="C14" s="4" t="inlineStr">
        <is>
          <t>Publish the agent</t>
        </is>
      </c>
      <c r="D14" s="4" t="inlineStr">
        <is>
          <t>Agent designer &gt; the agent &gt; Create (first time) or Update. Connector changes need a recreate: deploy_no_code.py --recreate, then Create.</t>
        </is>
      </c>
      <c r="E14" s="4" t="inlineStr">
        <is>
          <t>The API saves drafts only; chat serves the last published version.</t>
        </is>
      </c>
      <c r="F14" s="4" t="inlineStr">
        <is>
          <t>Gemini Enterprise admin / Deployment team (us)</t>
        </is>
      </c>
      <c r="G14" s="4" t="inlineStr">
        <is>
          <t>Draft yes; publish no</t>
        </is>
      </c>
      <c r="H14" s="14" t="inlineStr">
        <is>
          <t>Not started</t>
        </is>
      </c>
      <c r="I14" s="14" t="inlineStr"/>
    </row>
    <row r="15">
      <c r="A15" s="4" t="n">
        <v>10</v>
      </c>
      <c r="B15" s="13" t="inlineStr">
        <is>
          <t>User access</t>
        </is>
      </c>
      <c r="C15" s="4" t="inlineStr">
        <is>
          <t>Who may use the agent</t>
        </is>
      </c>
      <c r="D15" s="14" t="inlineStr">
        <is>
          <t>Group: &lt;Google group of intended users&gt;, each with a Gemini Enterprise license; the agent is shared to that group (optional per-agent access groups are supported).</t>
        </is>
      </c>
      <c r="E15" s="4" t="inlineStr">
        <is>
          <t>Controls who sees and runs the agent.</t>
        </is>
      </c>
      <c r="F15" s="4" t="inlineStr">
        <is>
          <t>Business owner / Gemini Enterprise admin</t>
        </is>
      </c>
      <c r="G15" s="4" t="inlineStr">
        <is>
          <t>Partly (sharing yes, licensing no)</t>
        </is>
      </c>
      <c r="H15" s="14" t="inlineStr">
        <is>
          <t>Not started</t>
        </is>
      </c>
      <c r="I15" s="14" t="inlineStr"/>
    </row>
    <row r="16">
      <c r="A16" s="4" t="n">
        <v>11</v>
      </c>
      <c r="B16" s="13" t="inlineStr">
        <is>
          <t>Acceptance</t>
        </is>
      </c>
      <c r="C16" s="4" t="inlineStr">
        <is>
          <t>End-to-end test</t>
        </is>
      </c>
      <c r="D16" s="4" t="inlineStr">
        <is>
          <t>'What is the Kitchen Compliance Scorecard for this week?' matches the Looker figures for the same week.</t>
        </is>
      </c>
      <c r="E16" s="4" t="inlineStr">
        <is>
          <t>Proves the setup works before users are switched over.</t>
        </is>
      </c>
      <c r="F16" s="4" t="inlineStr">
        <is>
          <t>Deployment team (us)</t>
        </is>
      </c>
      <c r="G16" s="4" t="inlineStr">
        <is>
          <t>Yes (run.py test)</t>
        </is>
      </c>
      <c r="H16" s="14" t="inlineStr">
        <is>
          <t>Not started</t>
        </is>
      </c>
      <c r="I16" s="14" t="inlineStr"/>
    </row>
  </sheetData>
  <autoFilter ref="A5:I16"/>
  <dataValidations count="1">
    <dataValidation sqref="H6 H7 H8 H9 H10 H11 H12 H13 H14 H15 H16" showDropDown="0" showInputMessage="0" showErrorMessage="0" allowBlank="1" type="list">
      <formula1>"Not started,Ticket raised,In progress,Done,N/A,Blocked"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38" customWidth="1" min="3" max="3"/>
    <col width="60" customWidth="1" min="4" max="4"/>
    <col width="46" customWidth="1" min="5" max="5"/>
    <col width="24" customWidth="1" min="6" max="6"/>
    <col width="22" customWidth="1" min="7" max="7"/>
    <col width="14" customWidth="1" min="8" max="8"/>
    <col width="30" customWidth="1" min="9" max="9"/>
  </cols>
  <sheetData>
    <row r="1">
      <c r="A1" s="9" t="inlineStr">
        <is>
          <t>Recipe Editorial</t>
        </is>
      </c>
    </row>
    <row r="2">
      <c r="A2" s="10" t="inlineStr">
        <is>
          <t>No-code agent: recipe editorial QA from BigQuery, emailed report.</t>
        </is>
      </c>
    </row>
    <row r="3">
      <c r="A3" s="11" t="inlineStr">
        <is>
          <t>Values in &lt;angle brackets&gt; are placeholders for the client's IT team to decide and fill in (those cells are yellow, like Status and notes); everything else is fixed by Google or by the repository. Details: docs/prod-runbook.md.</t>
        </is>
      </c>
    </row>
    <row r="5">
      <c r="A5" s="12" t="inlineStr">
        <is>
          <t>#</t>
        </is>
      </c>
      <c r="B5" s="12" t="inlineStr">
        <is>
          <t>Area</t>
        </is>
      </c>
      <c r="C5" s="12" t="inlineStr">
        <is>
          <t>Requirement</t>
        </is>
      </c>
      <c r="D5" s="12" t="inlineStr">
        <is>
          <t>Exact value / specification</t>
        </is>
      </c>
      <c r="E5" s="12" t="inlineStr">
        <is>
          <t>Why it is needed</t>
        </is>
      </c>
      <c r="F5" s="12" t="inlineStr">
        <is>
          <t>Who provides it</t>
        </is>
      </c>
      <c r="G5" s="12" t="inlineStr">
        <is>
          <t>Automated by the repo?</t>
        </is>
      </c>
      <c r="H5" s="12" t="inlineStr">
        <is>
          <t>Status</t>
        </is>
      </c>
      <c r="I5" s="12" t="inlineStr">
        <is>
          <t>Ticket / owner / notes</t>
        </is>
      </c>
    </row>
    <row r="6">
      <c r="A6" s="4" t="n">
        <v>1</v>
      </c>
      <c r="B6" s="13" t="inlineStr">
        <is>
          <t>Gemini Enterprise</t>
        </is>
      </c>
      <c r="C6" s="4" t="inlineStr">
        <is>
          <t>No-code agent</t>
        </is>
      </c>
      <c r="D6" s="4" t="inlineStr">
        <is>
          <t>agents/no_code/recipe_editorial_agent (instruction, model, connectors).</t>
        </is>
      </c>
      <c r="E6" s="4" t="inlineStr">
        <is>
          <t>Editorial QA of recipes with an emailed HTML report.</t>
        </is>
      </c>
      <c r="F6" s="4" t="inlineStr">
        <is>
          <t>Deployment team (us)</t>
        </is>
      </c>
      <c r="G6" s="4" t="inlineStr">
        <is>
          <t>Yes (run.py deploy), then one Create/Update click</t>
        </is>
      </c>
      <c r="H6" s="14" t="inlineStr">
        <is>
          <t>Not started</t>
        </is>
      </c>
      <c r="I6" s="14" t="inlineStr"/>
    </row>
    <row r="7">
      <c r="A7" s="4" t="n">
        <v>2</v>
      </c>
      <c r="B7" s="13" t="inlineStr">
        <is>
          <t>Data (BigQuery)</t>
        </is>
      </c>
      <c r="C7" s="4" t="inlineStr">
        <is>
          <t>Recipe datasets</t>
        </is>
      </c>
      <c r="D7" s="14" t="inlineStr">
        <is>
          <t>Product dataset: &lt;project&gt;.&lt;product recipe dataset&gt; with tables (or views) culinary_products, culinary_product_preparation_steps, culinary_product_ingredients, culinary_ingredient_specifications, menu_cycles, menu_items; legacy dataset: &lt;project&gt;.&lt;legacy recipe dataset&gt; with legacy_recipes, legacy_recipe_steps, legacy_recipe_ingredients, legacy_cycle_recipe_slots.</t>
        </is>
      </c>
      <c r="E7" s="4" t="inlineStr">
        <is>
          <t>The prompt reads recipes, steps, ingredients and cycles from them.</t>
        </is>
      </c>
      <c r="F7" s="4" t="inlineStr">
        <is>
          <t>Data owner (BigQuery)</t>
        </is>
      </c>
      <c r="G7" s="4" t="inlineStr">
        <is>
          <t>No</t>
        </is>
      </c>
      <c r="H7" s="14" t="inlineStr">
        <is>
          <t>Not started</t>
        </is>
      </c>
      <c r="I7" s="14" t="inlineStr"/>
    </row>
    <row r="8">
      <c r="A8" s="4" t="n">
        <v>3</v>
      </c>
      <c r="B8" s="13" t="inlineStr">
        <is>
          <t>Gemini Enterprise</t>
        </is>
      </c>
      <c r="C8" s="4" t="inlineStr">
        <is>
          <t>BigQuery MCP connector (shared by both no-code agents)</t>
        </is>
      </c>
      <c r="D8" s="4" t="inlineStr">
        <is>
          <t>Custom MCP server https://bigquery.googleapis.com/mcp, OAuth (auth URI https://accounts.google.com/o/oauth2/v2/auth, extra params &amp;access_type=offline&amp;prompt=consent, token URI https://oauth2.googleapis.com/token, scope https://www.googleapis.com/auth/bigquery) with its own Web OAuth client (both redirect URIs: https://vertexaisearch.cloud.google.com/static/oauth/oauth.html, https://vertexaisearch.cloud.google.com/oauth-redirect).</t>
        </is>
      </c>
      <c r="E8" s="4" t="inlineStr">
        <is>
          <t>The agent queries BigQuery through it as the signed-in user.</t>
        </is>
      </c>
      <c r="F8" s="4" t="inlineStr">
        <is>
          <t>Gemini Enterprise admin + Cloud platform team</t>
        </is>
      </c>
      <c r="G8" s="4" t="inlineStr">
        <is>
          <t>Scriptable (create_mcp_connector.py)</t>
        </is>
      </c>
      <c r="H8" s="14" t="inlineStr">
        <is>
          <t>Not started</t>
        </is>
      </c>
      <c r="I8" s="14" t="inlineStr"/>
    </row>
    <row r="9">
      <c r="A9" s="4" t="n">
        <v>4</v>
      </c>
      <c r="B9" s="13" t="inlineStr">
        <is>
          <t>Org policy</t>
        </is>
      </c>
      <c r="C9" s="4" t="inlineStr">
        <is>
          <t>Allow custom MCP connectors</t>
        </is>
      </c>
      <c r="D9" s="4" t="inlineStr">
        <is>
          <t>constraints/discoveryengine.managed.disableCustomMcpServerConnector: enforce: false on the project.</t>
        </is>
      </c>
      <c r="E9" s="4" t="inlineStr">
        <is>
          <t>New organizations block custom MCP connectors by default.</t>
        </is>
      </c>
      <c r="F9" s="4" t="inlineStr">
        <is>
          <t>Cloud IAM / security</t>
        </is>
      </c>
      <c r="G9" s="4" t="inlineStr">
        <is>
          <t>No</t>
        </is>
      </c>
      <c r="H9" s="14" t="inlineStr">
        <is>
          <t>Not started</t>
        </is>
      </c>
      <c r="I9" s="14" t="inlineStr"/>
    </row>
    <row r="10">
      <c r="A10" s="4" t="n">
        <v>5</v>
      </c>
      <c r="B10" s="13" t="inlineStr">
        <is>
          <t>Gemini Enterprise</t>
        </is>
      </c>
      <c r="C10" s="4" t="inlineStr">
        <is>
          <t>Connect the connector's data store to the app</t>
        </is>
      </c>
      <c r="D10" s="14" t="inlineStr">
        <is>
          <t>Connected data stores &gt; Add existing data stores &gt; &lt;connector&gt;_mcp_data.</t>
        </is>
      </c>
      <c r="E10" s="4" t="inlineStr">
        <is>
          <t>Until then the agent designer does not offer the connector.</t>
        </is>
      </c>
      <c r="F10" s="4" t="inlineStr">
        <is>
          <t>Gemini Enterprise admin</t>
        </is>
      </c>
      <c r="G10" s="4" t="inlineStr">
        <is>
          <t>No (console only)</t>
        </is>
      </c>
      <c r="H10" s="14" t="inlineStr">
        <is>
          <t>Not started</t>
        </is>
      </c>
      <c r="I10" s="14" t="inlineStr"/>
    </row>
    <row r="11">
      <c r="A11" s="4" t="n">
        <v>6</v>
      </c>
      <c r="B11" s="13" t="inlineStr">
        <is>
          <t>Gemini Enterprise</t>
        </is>
      </c>
      <c r="C11" s="4" t="inlineStr">
        <is>
          <t>Enable the connector's actions</t>
        </is>
      </c>
      <c r="D11" s="4" t="inlineStr">
        <is>
          <t>Data stores &gt; the connector &gt; Actions: execute_sql_readonly, list_dataset_ids, get_dataset_info, list_table_ids, get_table_info, get_query_results, get_job. Leave execute_sql off.</t>
        </is>
      </c>
      <c r="E11" s="4" t="inlineStr">
        <is>
          <t>With actions off the agent says the tool is unavailable.</t>
        </is>
      </c>
      <c r="F11" s="4" t="inlineStr">
        <is>
          <t>Gemini Enterprise admin</t>
        </is>
      </c>
      <c r="G11" s="4" t="inlineStr">
        <is>
          <t>No (console only)</t>
        </is>
      </c>
      <c r="H11" s="14" t="inlineStr">
        <is>
          <t>Not started</t>
        </is>
      </c>
      <c r="I11" s="14" t="inlineStr"/>
    </row>
    <row r="12">
      <c r="A12" s="4" t="n">
        <v>7</v>
      </c>
      <c r="B12" s="13" t="inlineStr">
        <is>
          <t>User access</t>
        </is>
      </c>
      <c r="C12" s="4" t="inlineStr">
        <is>
          <t>BigQuery roles for every user</t>
        </is>
      </c>
      <c r="D12" s="4" t="inlineStr">
        <is>
          <t>roles/mcp.toolUser and roles/bigquery.jobUser on the project that runs the queries; roles/bigquery.dataViewer on both recipe datasets.</t>
        </is>
      </c>
      <c r="E12" s="4" t="inlineStr">
        <is>
          <t>Queries run as the user; the agent cannot elevate.</t>
        </is>
      </c>
      <c r="F12" s="4" t="inlineStr">
        <is>
          <t>Cloud IAM / security / Data owner (BigQuery)</t>
        </is>
      </c>
      <c r="G12" s="4" t="inlineStr">
        <is>
          <t>No</t>
        </is>
      </c>
      <c r="H12" s="14" t="inlineStr">
        <is>
          <t>Not started</t>
        </is>
      </c>
      <c r="I12" s="14" t="inlineStr"/>
    </row>
    <row r="13">
      <c r="A13" s="4" t="n">
        <v>8</v>
      </c>
      <c r="B13" s="13" t="inlineStr">
        <is>
          <t>Gemini Enterprise</t>
        </is>
      </c>
      <c r="C13" s="4" t="inlineStr">
        <is>
          <t>Publish the agent</t>
        </is>
      </c>
      <c r="D13" s="4" t="inlineStr">
        <is>
          <t>Agent designer &gt; the agent &gt; Create (first time) or Update. Connector changes need a recreate: deploy_no_code.py --recreate, then Create.</t>
        </is>
      </c>
      <c r="E13" s="4" t="inlineStr">
        <is>
          <t>The API saves drafts only; chat serves the last published version.</t>
        </is>
      </c>
      <c r="F13" s="4" t="inlineStr">
        <is>
          <t>Gemini Enterprise admin / Deployment team (us)</t>
        </is>
      </c>
      <c r="G13" s="4" t="inlineStr">
        <is>
          <t>Draft yes; publish no</t>
        </is>
      </c>
      <c r="H13" s="14" t="inlineStr">
        <is>
          <t>Not started</t>
        </is>
      </c>
      <c r="I13" s="14" t="inlineStr"/>
    </row>
    <row r="14">
      <c r="A14" s="4" t="n">
        <v>9</v>
      </c>
      <c r="B14" s="13" t="inlineStr">
        <is>
          <t>Gemini Enterprise</t>
        </is>
      </c>
      <c r="C14" s="4" t="inlineStr">
        <is>
          <t>Gmail connector (optional, to email the report)</t>
        </is>
      </c>
      <c r="D14" s="4" t="inlineStr">
        <is>
          <t>Data stores &gt; Create &gt; Gmail (federated, with actions); Workspace admin consent for the send action.</t>
        </is>
      </c>
      <c r="E14" s="4" t="inlineStr">
        <is>
          <t>Without it the report is shown in chat instead of emailed.</t>
        </is>
      </c>
      <c r="F14" s="4" t="inlineStr">
        <is>
          <t>Gemini Enterprise admin + Google Workspace admin</t>
        </is>
      </c>
      <c r="G14" s="4" t="inlineStr">
        <is>
          <t>No (console only)</t>
        </is>
      </c>
      <c r="H14" s="14" t="inlineStr">
        <is>
          <t>Not started</t>
        </is>
      </c>
      <c r="I14" s="14" t="inlineStr"/>
    </row>
    <row r="15">
      <c r="A15" s="4" t="n">
        <v>10</v>
      </c>
      <c r="B15" s="13" t="inlineStr">
        <is>
          <t>User access</t>
        </is>
      </c>
      <c r="C15" s="4" t="inlineStr">
        <is>
          <t>Who may use the agent</t>
        </is>
      </c>
      <c r="D15" s="14" t="inlineStr">
        <is>
          <t>Group: &lt;Google group of intended users&gt;, each with a Gemini Enterprise license; the agent is shared to that group (optional per-agent access groups are supported).</t>
        </is>
      </c>
      <c r="E15" s="4" t="inlineStr">
        <is>
          <t>Controls who sees and runs the agent.</t>
        </is>
      </c>
      <c r="F15" s="4" t="inlineStr">
        <is>
          <t>Business owner / Gemini Enterprise admin</t>
        </is>
      </c>
      <c r="G15" s="4" t="inlineStr">
        <is>
          <t>Partly (sharing yes, licensing no)</t>
        </is>
      </c>
      <c r="H15" s="14" t="inlineStr">
        <is>
          <t>Not started</t>
        </is>
      </c>
      <c r="I15" s="14" t="inlineStr"/>
    </row>
    <row r="16">
      <c r="A16" s="4" t="n">
        <v>11</v>
      </c>
      <c r="B16" s="13" t="inlineStr">
        <is>
          <t>Acceptance</t>
        </is>
      </c>
      <c r="C16" s="4" t="inlineStr">
        <is>
          <t>End-to-end test</t>
        </is>
      </c>
      <c r="D16" s="4" t="inlineStr">
        <is>
          <t>A recipe SKU returns the QA report; with Gmail, it is emailed to the recipient.</t>
        </is>
      </c>
      <c r="E16" s="4" t="inlineStr">
        <is>
          <t>Proves the setup works before users are switched over.</t>
        </is>
      </c>
      <c r="F16" s="4" t="inlineStr">
        <is>
          <t>Deployment team (us)</t>
        </is>
      </c>
      <c r="G16" s="4" t="inlineStr">
        <is>
          <t>Yes (run.py test)</t>
        </is>
      </c>
      <c r="H16" s="14" t="inlineStr">
        <is>
          <t>Not started</t>
        </is>
      </c>
      <c r="I16" s="14" t="inlineStr"/>
    </row>
  </sheetData>
  <autoFilter ref="A5:I16"/>
  <dataValidations count="1">
    <dataValidation sqref="H6 H7 H8 H9 H10 H11 H12 H13 H14 H15 H16" showDropDown="0" showInputMessage="0" showErrorMessage="0" allowBlank="1" type="list">
      <formula1>"Not started,Ticket raised,In progress,Done,N/A,Blocked"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60" customWidth="1" min="3" max="3"/>
    <col width="40" customWidth="1" min="4" max="4"/>
    <col width="24" customWidth="1" min="5" max="5"/>
    <col width="14" customWidth="1" min="6" max="6"/>
  </cols>
  <sheetData>
    <row r="1">
      <c r="A1" s="9" t="inlineStr">
        <is>
          <t>Secrets register</t>
        </is>
      </c>
    </row>
    <row r="2">
      <c r="A2" s="10" t="inlineStr">
        <is>
          <t>Every secret the agents read. Values never go in code, config files, email or chat.</t>
        </is>
      </c>
    </row>
    <row r="4">
      <c r="A4" s="3" t="inlineStr">
        <is>
          <t>Secret ID</t>
        </is>
      </c>
      <c r="B4" s="3" t="inlineStr">
        <is>
          <t>Used by</t>
        </is>
      </c>
      <c r="C4" s="3" t="inlineStr">
        <is>
          <t>Value / source</t>
        </is>
      </c>
      <c r="D4" s="3" t="inlineStr">
        <is>
          <t>Read by</t>
        </is>
      </c>
      <c r="E4" s="3" t="inlineStr">
        <is>
          <t>Rotation owner</t>
        </is>
      </c>
      <c r="F4" s="3" t="inlineStr">
        <is>
          <t>Status</t>
        </is>
      </c>
    </row>
    <row r="5">
      <c r="A5" s="4" t="inlineStr">
        <is>
          <t>growth-bls-api-key</t>
        </is>
      </c>
      <c r="B5" s="4" t="inlineStr">
        <is>
          <t>Growth Analysis</t>
        </is>
      </c>
      <c r="C5" s="4" t="inlineStr">
        <is>
          <t>See the agent's tab</t>
        </is>
      </c>
      <c r="D5" s="4" t="inlineStr">
        <is>
          <t>Growth Analysis Agent Identity (roles/secretmanager.secretAccessor, this secret only)</t>
        </is>
      </c>
      <c r="E5" s="4" t="inlineStr">
        <is>
          <t>Value owner</t>
        </is>
      </c>
      <c r="F5" s="14" t="inlineStr">
        <is>
          <t>Not started</t>
        </is>
      </c>
    </row>
    <row r="6">
      <c r="A6" s="4" t="inlineStr">
        <is>
          <t>growth-fred-api-key</t>
        </is>
      </c>
      <c r="B6" s="4" t="inlineStr">
        <is>
          <t>Growth Analysis</t>
        </is>
      </c>
      <c r="C6" s="4" t="inlineStr">
        <is>
          <t>See the agent's tab</t>
        </is>
      </c>
      <c r="D6" s="4" t="inlineStr">
        <is>
          <t>Growth Analysis Agent Identity (roles/secretmanager.secretAccessor, this secret only)</t>
        </is>
      </c>
      <c r="E6" s="4" t="inlineStr">
        <is>
          <t>Value owner</t>
        </is>
      </c>
      <c r="F6" s="14" t="inlineStr">
        <is>
          <t>Not started</t>
        </is>
      </c>
    </row>
    <row r="7">
      <c r="A7" s="4" t="inlineStr">
        <is>
          <t>growth-nyt-api-key</t>
        </is>
      </c>
      <c r="B7" s="4" t="inlineStr">
        <is>
          <t>Growth Analysis</t>
        </is>
      </c>
      <c r="C7" s="4" t="inlineStr">
        <is>
          <t>See the agent's tab</t>
        </is>
      </c>
      <c r="D7" s="4" t="inlineStr">
        <is>
          <t>Growth Analysis Agent Identity (roles/secretmanager.secretAccessor, this secret only)</t>
        </is>
      </c>
      <c r="E7" s="4" t="inlineStr">
        <is>
          <t>Value owner</t>
        </is>
      </c>
      <c r="F7" s="14" t="inlineStr">
        <is>
          <t>Not started</t>
        </is>
      </c>
    </row>
    <row r="8">
      <c r="A8" s="4" t="inlineStr">
        <is>
          <t>growth-google-places-api-key</t>
        </is>
      </c>
      <c r="B8" s="4" t="inlineStr">
        <is>
          <t>Growth Analysis</t>
        </is>
      </c>
      <c r="C8" s="4" t="inlineStr">
        <is>
          <t>See the agent's tab</t>
        </is>
      </c>
      <c r="D8" s="4" t="inlineStr">
        <is>
          <t>Growth Analysis Agent Identity (roles/secretmanager.secretAccessor, this secret only)</t>
        </is>
      </c>
      <c r="E8" s="4" t="inlineStr">
        <is>
          <t>Value owner</t>
        </is>
      </c>
      <c r="F8" s="14" t="inlineStr">
        <is>
          <t>Not started</t>
        </is>
      </c>
    </row>
    <row r="9">
      <c r="A9" s="4" t="inlineStr">
        <is>
          <t>growth-analysis-workflow-oauth-client-secret</t>
        </is>
      </c>
      <c r="B9" s="4" t="inlineStr">
        <is>
          <t>Growth Analysis</t>
        </is>
      </c>
      <c r="C9" s="4" t="inlineStr">
        <is>
          <t>The agent's Google OAuth client secret (imported on first registration)</t>
        </is>
      </c>
      <c r="D9" s="4" t="inlineStr">
        <is>
          <t>Gemini Enterprise authorization (deployment)</t>
        </is>
      </c>
      <c r="E9" s="4" t="inlineStr">
        <is>
          <t>Cloud platform team</t>
        </is>
      </c>
      <c r="F9" s="14" t="inlineStr">
        <is>
          <t>Not started</t>
        </is>
      </c>
    </row>
    <row r="10">
      <c r="A10" s="4" t="inlineStr">
        <is>
          <t>vendor-match-agent-oauth-client-secret</t>
        </is>
      </c>
      <c r="B10" s="4" t="inlineStr">
        <is>
          <t>Vendor Match Agent</t>
        </is>
      </c>
      <c r="C10" s="4" t="inlineStr">
        <is>
          <t>The agent's Google OAuth client secret (imported on first registration)</t>
        </is>
      </c>
      <c r="D10" s="4" t="inlineStr">
        <is>
          <t>Gemini Enterprise authorization (deployment)</t>
        </is>
      </c>
      <c r="E10" s="4" t="inlineStr">
        <is>
          <t>Cloud platform team</t>
        </is>
      </c>
      <c r="F10" s="14" t="inlineStr">
        <is>
          <t>Not started</t>
        </is>
      </c>
    </row>
    <row r="11">
      <c r="A11" s="4" t="inlineStr">
        <is>
          <t>ticket-guidance-jira-api-token</t>
        </is>
      </c>
      <c r="B11" s="4" t="inlineStr">
        <is>
          <t>Ticket Guidance Agent</t>
        </is>
      </c>
      <c r="C11" s="4" t="inlineStr">
        <is>
          <t>See the agent's tab</t>
        </is>
      </c>
      <c r="D11" s="4" t="inlineStr">
        <is>
          <t>Ticket Guidance Agent Agent Identity (roles/secretmanager.secretAccessor, this secret only)</t>
        </is>
      </c>
      <c r="E11" s="4" t="inlineStr">
        <is>
          <t>Value owner</t>
        </is>
      </c>
      <c r="F11" s="14" t="inlineStr">
        <is>
          <t>Not started</t>
        </is>
      </c>
    </row>
    <row r="12">
      <c r="A12" s="4" t="inlineStr">
        <is>
          <t>ticket-guidance-agent-oauth-client-secret</t>
        </is>
      </c>
      <c r="B12" s="4" t="inlineStr">
        <is>
          <t>Ticket Guidance Agent</t>
        </is>
      </c>
      <c r="C12" s="4" t="inlineStr">
        <is>
          <t>The agent's Google OAuth client secret (imported on first registration)</t>
        </is>
      </c>
      <c r="D12" s="4" t="inlineStr">
        <is>
          <t>Gemini Enterprise authorization (deployment)</t>
        </is>
      </c>
      <c r="E12" s="4" t="inlineStr">
        <is>
          <t>Cloud platform team</t>
        </is>
      </c>
      <c r="F12" s="14" t="inlineStr">
        <is>
          <t>Not started</t>
        </is>
      </c>
    </row>
    <row r="13">
      <c r="A13" s="4" t="inlineStr">
        <is>
          <t>(connector-held) BigQuery MCP OAuth client secret</t>
        </is>
      </c>
      <c r="B13" s="4" t="inlineStr">
        <is>
          <t>Kitchen Sequencer, Recipe Editorial</t>
        </is>
      </c>
      <c r="C13" s="4" t="inlineStr">
        <is>
          <t>Entered once into the connector; held by Gemini Enterprise</t>
        </is>
      </c>
      <c r="D13" s="4" t="inlineStr">
        <is>
          <t>Gemini Enterprise</t>
        </is>
      </c>
      <c r="E13" s="4" t="inlineStr">
        <is>
          <t>Cloud platform team</t>
        </is>
      </c>
      <c r="F13" s="14" t="inlineStr">
        <is>
          <t>Not started</t>
        </is>
      </c>
    </row>
    <row r="14">
      <c r="A14" s="4" t="inlineStr">
        <is>
          <t>(connector-held) Atlassian OAuth app secret</t>
        </is>
      </c>
      <c r="B14" s="4" t="inlineStr">
        <is>
          <t>Ticket Guidance</t>
        </is>
      </c>
      <c r="C14" s="4" t="inlineStr">
        <is>
          <t>Entered once into the Confluence connector; held by Gemini Enterprise</t>
        </is>
      </c>
      <c r="D14" s="4" t="inlineStr">
        <is>
          <t>Gemini Enterprise</t>
        </is>
      </c>
      <c r="E14" s="4" t="inlineStr">
        <is>
          <t>Atlassian admin</t>
        </is>
      </c>
      <c r="F14" s="14" t="inlineStr">
        <is>
          <t>Not started</t>
        </is>
      </c>
    </row>
  </sheetData>
  <dataValidations count="1">
    <dataValidation sqref="F5 F6 F7 F8 F9 F10 F11 F12 F13 F14" showDropDown="0" showInputMessage="0" showErrorMessage="0" allowBlank="1" type="list">
      <formula1>"Not started,Ticket raised,In progress,Done,N/A,Blocked"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2026-10-13T18:50:00Z</dcterms:created>
  <dcterms:modified xsi:type="dcterms:W3CDTF">2026-10-13T18:50:00Z</dcterms:modified>
</cp:coreProperties>
</file>